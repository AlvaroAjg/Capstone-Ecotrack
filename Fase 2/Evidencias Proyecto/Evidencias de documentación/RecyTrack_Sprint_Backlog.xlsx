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1" sheetId="2" state="visible" r:id="rId4"/>
    <sheet name="S2" sheetId="3" state="visible" r:id="rId5"/>
    <sheet name="S3" sheetId="4" state="visible" r:id="rId6"/>
    <sheet name="S4" sheetId="5" state="visible" r:id="rId7"/>
    <sheet name="S5" sheetId="6" state="visible" r:id="rId8"/>
    <sheet name="S6" sheetId="7" state="visible" r:id="rId9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<sst xmlns="http://schemas.openxmlformats.org/spreadsheetml/2006/main" count="859" uniqueCount="418">
  <si>
    <t xml:space="preserve">RecyTrack · Sprint Backlog del proyecto</t>
  </si>
  <si>
    <t xml:space="preserve">Una hoja por sprint. Scrum Master: Matías Bustamante. Fechas según la carta Gantt del informe de la Fase 1, con la semana de receso de Fiestas Patrias.</t>
  </si>
  <si>
    <t xml:space="preserve">Sprint</t>
  </si>
  <si>
    <t xml:space="preserve">Semanas</t>
  </si>
  <si>
    <t xml:space="preserve">Fechas</t>
  </si>
  <si>
    <t xml:space="preserve">Objetivo</t>
  </si>
  <si>
    <t xml:space="preserve">Estado</t>
  </si>
  <si>
    <t xml:space="preserve">Historias</t>
  </si>
  <si>
    <t xml:space="preserve">Puntos comprometidos</t>
  </si>
  <si>
    <t xml:space="preserve">Puntos terminados</t>
  </si>
  <si>
    <t xml:space="preserve">Avance</t>
  </si>
  <si>
    <t xml:space="preserve">S0</t>
  </si>
  <si>
    <t xml:space="preserve">3 y 4</t>
  </si>
  <si>
    <t xml:space="preserve">31-08 al 11-09</t>
  </si>
  <si>
    <t xml:space="preserve">Validación en terreno del problema y de la ronda diaria con la viña. Sprint de levantamiento, sin historias de software.</t>
  </si>
  <si>
    <t xml:space="preserve">Por confirmar</t>
  </si>
  <si>
    <t xml:space="preserve">—</t>
  </si>
  <si>
    <t xml:space="preserve">S1</t>
  </si>
  <si>
    <t xml:space="preserve">5 y 6</t>
  </si>
  <si>
    <t xml:space="preserve">21-09 al 02-10</t>
  </si>
  <si>
    <t xml:space="preserve">Arquitectura base, autenticación y roles, y primeras versiones del registro por QR, la validación por contenedor, los avisos y los documentos PDF.</t>
  </si>
  <si>
    <t xml:space="preserve">S2</t>
  </si>
  <si>
    <t xml:space="preserve">7 y 8</t>
  </si>
  <si>
    <t xml:space="preserve">05-10 al 16-10</t>
  </si>
  <si>
    <t xml:space="preserve">Que el administrador pueda configurar la planta desde el panel web: crear las áreas, registrar los contenedores de cada punto limpio con sus QR, ver a las personas por área y asignar al validador y su suplente.</t>
  </si>
  <si>
    <t xml:space="preserve">S3</t>
  </si>
  <si>
    <t xml:space="preserve">9 y 10</t>
  </si>
  <si>
    <t xml:space="preserve">19-10 al 30-10</t>
  </si>
  <si>
    <t xml:space="preserve">Que el colaborador registre en cualquier punto limpio sumando a su área, y que el validador haga la ronda desde su propia vista.</t>
  </si>
  <si>
    <t xml:space="preserve">S4</t>
  </si>
  <si>
    <t xml:space="preserve">11 y 12</t>
  </si>
  <si>
    <t xml:space="preserve">02-11 al 13-11</t>
  </si>
  <si>
    <t xml:space="preserve">Cerrar la cadena con el registro de retiros desde el panel, emitir el reporte y los certificados del mes, y dejar la planta lista para iniciar el piloto.</t>
  </si>
  <si>
    <t xml:space="preserve">S5</t>
  </si>
  <si>
    <t xml:space="preserve">13 y 14</t>
  </si>
  <si>
    <t xml:space="preserve">16-11 al 27-11</t>
  </si>
  <si>
    <t xml:space="preserve">Completar el panel con resumen y rondas, y activar las campañas y el ranking de áreas por participación, con el piloto en curso.</t>
  </si>
  <si>
    <t xml:space="preserve">S6</t>
  </si>
  <si>
    <t xml:space="preserve">15 a 17</t>
  </si>
  <si>
    <t xml:space="preserve">30-11 al 18-12</t>
  </si>
  <si>
    <t xml:space="preserve">Cerrar el piloto, medir las métricas comprometidas, corregir errores y terminar los detalles pendientes.</t>
  </si>
  <si>
    <t xml:space="preserve">Piloto</t>
  </si>
  <si>
    <t xml:space="preserve">13 a 17</t>
  </si>
  <si>
    <t xml:space="preserve">16-11 al 18-12</t>
  </si>
  <si>
    <t xml:space="preserve">Cuatro semanas de uso en la planta, en paralelo con S5 y S6. Metas: 70 % de rondas completadas y 60 % de participación.</t>
  </si>
  <si>
    <t xml:space="preserve">Planificado</t>
  </si>
  <si>
    <t xml:space="preserve">Total</t>
  </si>
  <si>
    <t xml:space="preserve">Las historias de cada sprint vienen del Product Backlog. Las que quedan para después del piloto no se asignan a ningún sprint.</t>
  </si>
  <si>
    <t xml:space="preserve">RecyTrack · Sprint Backlog · Sprint 1</t>
  </si>
  <si>
    <t xml:space="preserve">21 de septiembre al 2 de octubre de 2026</t>
  </si>
  <si>
    <t xml:space="preserve">Objetivo del sprint</t>
  </si>
  <si>
    <t xml:space="preserve">Estado del sprint</t>
  </si>
  <si>
    <t xml:space="preserve">Cerrado</t>
  </si>
  <si>
    <t xml:space="preserve">Historias del sprint</t>
  </si>
  <si>
    <t xml:space="preserve">Resultado del sprint</t>
  </si>
  <si>
    <t xml:space="preserve">ID</t>
  </si>
  <si>
    <t xml:space="preserve">Historia de usuario</t>
  </si>
  <si>
    <t xml:space="preserve">Prioridad</t>
  </si>
  <si>
    <t xml:space="preserve">Puntos</t>
  </si>
  <si>
    <t xml:space="preserve">Responsable</t>
  </si>
  <si>
    <t xml:space="preserve">Fecha de término</t>
  </si>
  <si>
    <t xml:space="preserve">Criterios de aceptación</t>
  </si>
  <si>
    <t xml:space="preserve">Se terminaron las historias del sprint y quedaron primeras versiones funcionando del escaneo QR, la validación por contenedor, el certificado y el reporte mensual, el ranking y la misión. Esas primeras versiones se ajustan al modelo de áreas en los sprints siguientes y por eso sus historias figuran en el sprint en que se terminan.</t>
  </si>
  <si>
    <t xml:space="preserve">PB-01</t>
  </si>
  <si>
    <t xml:space="preserve">Como colaborador, quiero indicar el material y la talla de la bolsa con una referencia visual, para que la app estime los kilos sin que yo pese nada.</t>
  </si>
  <si>
    <t xml:space="preserve">Must</t>
  </si>
  <si>
    <t xml:space="preserve">Álvaro Jaña</t>
  </si>
  <si>
    <t xml:space="preserve">Hecho</t>
  </si>
  <si>
    <t xml:space="preserve">Si el contenedor es de un material, queda fijado. Tallas S, M, L y XL. Los kilos salen de la tabla y no se pueden escribir a mano.</t>
  </si>
  <si>
    <t xml:space="preserve">PB-02</t>
  </si>
  <si>
    <t xml:space="preserve">Como colaborador, quiero escribir el código impreso bajo el QR cuando la cámara no lo lee, para no perder el registro.</t>
  </si>
  <si>
    <t xml:space="preserve">El código manual se valida igual que el escaneado.</t>
  </si>
  <si>
    <t xml:space="preserve">PB-03</t>
  </si>
  <si>
    <t xml:space="preserve">Como colaborador, quiero ver el historial de mis depósitos y el estado de cada uno, para saber si fueron validados.</t>
  </si>
  <si>
    <t xml:space="preserve">Cada depósito muestra estado y fecha de cada etapa. Se agrupa por mes.</t>
  </si>
  <si>
    <t xml:space="preserve">PB-04</t>
  </si>
  <si>
    <t xml:space="preserve">Como colaborador, quiero entrar con mi cuenta de Google o de Microsoft, para no tener que recordar otra contraseña.</t>
  </si>
  <si>
    <t xml:space="preserve">Should</t>
  </si>
  <si>
    <t xml:space="preserve">Los botones funcionan en la versión web e instalada. La primera vez se crea la cuenta como colaborador.</t>
  </si>
  <si>
    <t xml:space="preserve">PB-05</t>
  </si>
  <si>
    <t xml:space="preserve">Como colaborador, quiero recibir un aviso cuando mi depósito es validado, rechazado o certificado, para saber que mi aporte cuenta.</t>
  </si>
  <si>
    <t xml:space="preserve">El aviso aparece en la campana con contador de nuevos.</t>
  </si>
  <si>
    <t xml:space="preserve">Tareas</t>
  </si>
  <si>
    <t xml:space="preserve">Tarea</t>
  </si>
  <si>
    <t xml:space="preserve">Descripción</t>
  </si>
  <si>
    <t xml:space="preserve">Historia</t>
  </si>
  <si>
    <t xml:space="preserve">Horas est.</t>
  </si>
  <si>
    <t xml:space="preserve">Fecha</t>
  </si>
  <si>
    <t xml:space="preserve">Issue / PR · Notas</t>
  </si>
  <si>
    <t xml:space="preserve">T1-01</t>
  </si>
  <si>
    <t xml:space="preserve">Convertir la app en aplicación web instalable (PWA)</t>
  </si>
  <si>
    <t xml:space="preserve">Transversal</t>
  </si>
  <si>
    <t xml:space="preserve">T1-02</t>
  </si>
  <si>
    <t xml:space="preserve">Escáner QR con la cámara del navegador y certificado PDF descargable</t>
  </si>
  <si>
    <t xml:space="preserve">PB-16 (1.ª versión)</t>
  </si>
  <si>
    <t xml:space="preserve">T1-03</t>
  </si>
  <si>
    <t xml:space="preserve">Pantalla Mi cuenta y QR del contenedor visible para el administrador</t>
  </si>
  <si>
    <t xml:space="preserve">T1-04</t>
  </si>
  <si>
    <t xml:space="preserve">Roles validados por código en el servidor: nadie se asigna permisos</t>
  </si>
  <si>
    <t xml:space="preserve">T1-05</t>
  </si>
  <si>
    <t xml:space="preserve">Misión con incentivo editable por el administrador</t>
  </si>
  <si>
    <t xml:space="preserve">PB-32 (1.ª versión)</t>
  </si>
  <si>
    <t xml:space="preserve">T1-06</t>
  </si>
  <si>
    <t xml:space="preserve">Barra de navegación inferior para quien recicla</t>
  </si>
  <si>
    <t xml:space="preserve">T1-07</t>
  </si>
  <si>
    <t xml:space="preserve">Actualizar README y SETUP-FIREBASE al estado de la implementación</t>
  </si>
  <si>
    <t xml:space="preserve">T1-08</t>
  </si>
  <si>
    <t xml:space="preserve">Misión semanal del sistema con EcoPuntos</t>
  </si>
  <si>
    <t xml:space="preserve">PB-36 (1.ª versión)</t>
  </si>
  <si>
    <t xml:space="preserve">T1-09</t>
  </si>
  <si>
    <t xml:space="preserve">Inicio de sesión con Google</t>
  </si>
  <si>
    <t xml:space="preserve">T1-10</t>
  </si>
  <si>
    <t xml:space="preserve">Avisos de avance dentro de la app para cada rol</t>
  </si>
  <si>
    <t xml:space="preserve">T1-11</t>
  </si>
  <si>
    <t xml:space="preserve">Avisos como banner emergente en el momento del evento</t>
  </si>
  <si>
    <t xml:space="preserve">T1-12</t>
  </si>
  <si>
    <t xml:space="preserve">Registro por talla de bolsa en vez de peso</t>
  </si>
  <si>
    <t xml:space="preserve">T1-13</t>
  </si>
  <si>
    <t xml:space="preserve">Dibujo de referencia de cada talla de bolsa</t>
  </si>
  <si>
    <t xml:space="preserve">T1-14</t>
  </si>
  <si>
    <t xml:space="preserve">Ajustar los kilos estimados del metal a latas de aluminio y acero</t>
  </si>
  <si>
    <t xml:space="preserve">T1-15</t>
  </si>
  <si>
    <t xml:space="preserve">Certificado mensual con el detalle de cada depósito</t>
  </si>
  <si>
    <t xml:space="preserve">PB-24 (1.ª versión)</t>
  </si>
  <si>
    <t xml:space="preserve">T1-16</t>
  </si>
  <si>
    <t xml:space="preserve">Detalle de cada depósito y descarga directa del certificado del mes</t>
  </si>
  <si>
    <t xml:space="preserve">T1-17</t>
  </si>
  <si>
    <t xml:space="preserve">Ranking con podio, brecha con el lugar de arriba y aporte propio</t>
  </si>
  <si>
    <t xml:space="preserve">PB-31 (1.ª versión)</t>
  </si>
  <si>
    <t xml:space="preserve">T1-18</t>
  </si>
  <si>
    <t xml:space="preserve">Un QR por contenedor, con código aleatorio y material opcional</t>
  </si>
  <si>
    <t xml:space="preserve">PB-09 (1.ª versión)</t>
  </si>
  <si>
    <t xml:space="preserve">T1-19</t>
  </si>
  <si>
    <t xml:space="preserve">Validación por contenedor en lugar de depósito por depósito</t>
  </si>
  <si>
    <t xml:space="preserve">PB-19 (1.ª versión)</t>
  </si>
  <si>
    <t xml:space="preserve">T1-20</t>
  </si>
  <si>
    <t xml:space="preserve">Reporte de contenedores contaminados sin castigar a quienes separaron bien</t>
  </si>
  <si>
    <t xml:space="preserve">PB-20 (1.ª versión)</t>
  </si>
  <si>
    <t xml:space="preserve">T1-21</t>
  </si>
  <si>
    <t xml:space="preserve">Ajustes visuales de los avisos de contaminación y los consejos</t>
  </si>
  <si>
    <t xml:space="preserve">T1-22</t>
  </si>
  <si>
    <t xml:space="preserve">Cerrar brechas en las reglas de Firestore y agregar sus pruebas</t>
  </si>
  <si>
    <t xml:space="preserve">T1-23</t>
  </si>
  <si>
    <t xml:space="preserve">Quitar el entorno de demostración de la app</t>
  </si>
  <si>
    <t xml:space="preserve">T1-24</t>
  </si>
  <si>
    <t xml:space="preserve">Leer los registros según el rol de cada usuario</t>
  </si>
  <si>
    <t xml:space="preserve">T1-25</t>
  </si>
  <si>
    <t xml:space="preserve">Pruebas automatizadas de la lógica de la app</t>
  </si>
  <si>
    <t xml:space="preserve">T1-26</t>
  </si>
  <si>
    <t xml:space="preserve">Validar y rechazar en escrituras atómicas</t>
  </si>
  <si>
    <t xml:space="preserve">T1-27</t>
  </si>
  <si>
    <t xml:space="preserve">Reporte mensual en PDF para el administrador</t>
  </si>
  <si>
    <t xml:space="preserve">PB-25 (1.ª versión)</t>
  </si>
  <si>
    <t xml:space="preserve">T1-28</t>
  </si>
  <si>
    <t xml:space="preserve">Reglas del repositorio por escrito (CONTRIBUTING.md y CLAUDE.md)</t>
  </si>
  <si>
    <t xml:space="preserve">PR #7, #8, #11</t>
  </si>
  <si>
    <t xml:space="preserve">T1-29</t>
  </si>
  <si>
    <t xml:space="preserve">Nombre visible de la app: RecyTrack</t>
  </si>
  <si>
    <t xml:space="preserve">PB-41 (1.ª versión)</t>
  </si>
  <si>
    <t xml:space="preserve">PR #10</t>
  </si>
  <si>
    <t xml:space="preserve">T1-30</t>
  </si>
  <si>
    <t xml:space="preserve">Informe 1.5, justificación de tecnologías y presentaciones con el modelo de tres roles</t>
  </si>
  <si>
    <t xml:space="preserve">Documentación</t>
  </si>
  <si>
    <t xml:space="preserve">Matías Bustamante</t>
  </si>
  <si>
    <t xml:space="preserve">PR #14, #16, #18</t>
  </si>
  <si>
    <t xml:space="preserve">T1-31</t>
  </si>
  <si>
    <t xml:space="preserve">Diagramas de casos de uso y diagrama general de casos de uso</t>
  </si>
  <si>
    <t xml:space="preserve">PR #14, #18</t>
  </si>
  <si>
    <t xml:space="preserve">T1-32</t>
  </si>
  <si>
    <t xml:space="preserve">Diagrama de arquitectura general</t>
  </si>
  <si>
    <t xml:space="preserve">PR #20</t>
  </si>
  <si>
    <t xml:space="preserve">T1-33</t>
  </si>
  <si>
    <t xml:space="preserve">Inicio de sesión con Microsoft y su configuración documentada</t>
  </si>
  <si>
    <t xml:space="preserve">PR #23</t>
  </si>
  <si>
    <t xml:space="preserve">T1-34</t>
  </si>
  <si>
    <t xml:space="preserve">Mostrar el rol de quien recicla como colaborador</t>
  </si>
  <si>
    <t xml:space="preserve">PR #25</t>
  </si>
  <si>
    <t xml:space="preserve">T1-35</t>
  </si>
  <si>
    <t xml:space="preserve">Pull requests sin issue y aprobación por cualquier integrante</t>
  </si>
  <si>
    <t xml:space="preserve">PR #26</t>
  </si>
  <si>
    <t xml:space="preserve">Tareas y fechas tomadas del historial del repositorio (commits y pull requests).</t>
  </si>
  <si>
    <t xml:space="preserve">RecyTrack · Sprint Backlog · Sprint 2</t>
  </si>
  <si>
    <t xml:space="preserve">5 de octubre al 16 de octubre de 2026</t>
  </si>
  <si>
    <t xml:space="preserve">En curso</t>
  </si>
  <si>
    <t xml:space="preserve">Burndown (puntos restantes)</t>
  </si>
  <si>
    <t xml:space="preserve">Día</t>
  </si>
  <si>
    <t xml:space="preserve">Ideal</t>
  </si>
  <si>
    <t xml:space="preserve">Real</t>
  </si>
  <si>
    <t xml:space="preserve">Calculado</t>
  </si>
  <si>
    <t xml:space="preserve">PB-06</t>
  </si>
  <si>
    <t xml:space="preserve">Como equipo de desarrollo, quiero el modelo de planta, áreas y contenedores con punto limpio, con las reglas del administrador de planta, para que el panel guarde la configuración de forma segura.</t>
  </si>
  <si>
    <t xml:space="preserve">Existen las colecciones de planta y áreas. Solo el administrador de la planta escribe áreas, contenedores y asignaciones. Las pruebas de reglas pasan contra el emulador.</t>
  </si>
  <si>
    <t xml:space="preserve">PB-07</t>
  </si>
  <si>
    <t xml:space="preserve">Como administrador, quiero un panel de escritorio con menú lateral al entrar desde el computador, para gestionar el programa con comodidad.</t>
  </si>
  <si>
    <t xml:space="preserve">Al entrar con rol administrador en una pantalla ancha se muestra el panel. Vive en la misma app.</t>
  </si>
  <si>
    <t xml:space="preserve">PB-08</t>
  </si>
  <si>
    <t xml:space="preserve">Como administrador, quiero crear las áreas de la planta con su código de ingreso y su dotación, para medir la participación de cada una.</t>
  </si>
  <si>
    <t xml:space="preserve">Cada área tiene nombre, código único y dotación. El código no se repite entre áreas.</t>
  </si>
  <si>
    <t xml:space="preserve">PB-09</t>
  </si>
  <si>
    <t xml:space="preserve">Como administrador, quiero crear contenedores indicando su punto limpio y material, e imprimir su QR, para instalarlos en la planta.</t>
  </si>
  <si>
    <t xml:space="preserve">Cada contenedor tiene código aleatorio, punto limpio y material (o mixto). El QR se imprime con el código visible debajo.</t>
  </si>
  <si>
    <t xml:space="preserve">PB-10</t>
  </si>
  <si>
    <t xml:space="preserve">Como administrador, quiero ver la lista de colaboradores con su área y último depósito, y poder cambiarlos de área, para mantener los datos al día.</t>
  </si>
  <si>
    <t xml:space="preserve">Lista filtrable por área. Solo el administrador puede cambiar el área de una persona.</t>
  </si>
  <si>
    <t xml:space="preserve">PB-11</t>
  </si>
  <si>
    <t xml:space="preserve">Como administrador, quiero asignar al validador y a su suplente desde el panel, para que la ronda no dependa de una sola persona.</t>
  </si>
  <si>
    <t xml:space="preserve">Se elige titular y suplente entre los colaboradores. El cambio se refleja en sus permisos.</t>
  </si>
  <si>
    <t xml:space="preserve">PB-12</t>
  </si>
  <si>
    <t xml:space="preserve">Como administrador, quiero cambiar el código de un contenedor si se filtra, para que no se registre desde otro lugar.</t>
  </si>
  <si>
    <t xml:space="preserve">El código anterior queda inactivo y el nuevo QR se puede imprimir.</t>
  </si>
  <si>
    <t xml:space="preserve">Real: anotar cada día el valor de Calculado. Feriados excluidos.</t>
  </si>
  <si>
    <t xml:space="preserve">T2-01</t>
  </si>
  <si>
    <t xml:space="preserve">Definir los tipos de planta, área y contenedor con punto limpio en tipos.ts</t>
  </si>
  <si>
    <t xml:space="preserve">Vicente Torres</t>
  </si>
  <si>
    <t xml:space="preserve">Por hacer</t>
  </si>
  <si>
    <t xml:space="preserve">T2-02</t>
  </si>
  <si>
    <t xml:space="preserve">Servicios de lectura y escritura de la planta y sus áreas</t>
  </si>
  <si>
    <t xml:space="preserve">T2-03</t>
  </si>
  <si>
    <t xml:space="preserve">Reglas: el administrador de planta escribe áreas, contenedores y asignaciones solo de su planta</t>
  </si>
  <si>
    <t xml:space="preserve">T2-04</t>
  </si>
  <si>
    <t xml:space="preserve">Pruebas de reglas para áreas y contenedores (casos permitidos y rechazados)</t>
  </si>
  <si>
    <t xml:space="preserve">T2-05</t>
  </si>
  <si>
    <t xml:space="preserve">Crear la planta de prueba y la cuenta de administrador en la consola de Firebase</t>
  </si>
  <si>
    <t xml:space="preserve">T2-06</t>
  </si>
  <si>
    <t xml:space="preserve">Mostrar el diseño de escritorio cuando entra un administrador en una pantalla ancha</t>
  </si>
  <si>
    <t xml:space="preserve">T2-07</t>
  </si>
  <si>
    <t xml:space="preserve">Menú lateral con las secciones del sprint: Áreas, Contenedores y QR, Personas</t>
  </si>
  <si>
    <t xml:space="preserve">T2-08</t>
  </si>
  <si>
    <t xml:space="preserve">Componentes base del panel (tablas, formularios, botones) a partir de los existentes</t>
  </si>
  <si>
    <t xml:space="preserve">T2-09</t>
  </si>
  <si>
    <t xml:space="preserve">Formulario para crear un área con nombre y dotación, con código de ingreso generado</t>
  </si>
  <si>
    <t xml:space="preserve">T2-10</t>
  </si>
  <si>
    <t xml:space="preserve">Lista de áreas con su código y dotación, con edición</t>
  </si>
  <si>
    <t xml:space="preserve">T2-11</t>
  </si>
  <si>
    <t xml:space="preserve">Regla y prueba: el código de un área no se repite</t>
  </si>
  <si>
    <t xml:space="preserve">T2-12</t>
  </si>
  <si>
    <t xml:space="preserve">Llevar la gestión de contenedores al panel agregando el punto limpio</t>
  </si>
  <si>
    <t xml:space="preserve">T2-13</t>
  </si>
  <si>
    <t xml:space="preserve">Hoja de impresión de QR con el código visible bajo cada uno</t>
  </si>
  <si>
    <t xml:space="preserve">T2-14</t>
  </si>
  <si>
    <t xml:space="preserve">Desactivar un contenedor desde el panel</t>
  </si>
  <si>
    <t xml:space="preserve">T2-15</t>
  </si>
  <si>
    <t xml:space="preserve">Consulta de colaboradores de la planta con su área y último depósito</t>
  </si>
  <si>
    <t xml:space="preserve">T2-16</t>
  </si>
  <si>
    <t xml:space="preserve">Tabla de personas filtrable por área</t>
  </si>
  <si>
    <t xml:space="preserve">T2-17</t>
  </si>
  <si>
    <t xml:space="preserve">Cambiar de área a un colaborador, con regla que solo lo permite al administrador</t>
  </si>
  <si>
    <t xml:space="preserve">T2-18</t>
  </si>
  <si>
    <t xml:space="preserve">Selector de validador titular y suplente en la sección Personas</t>
  </si>
  <si>
    <t xml:space="preserve">T2-19</t>
  </si>
  <si>
    <t xml:space="preserve">Guardar la asignación en la planta y regla que da el permiso de validador</t>
  </si>
  <si>
    <t xml:space="preserve">T2-20</t>
  </si>
  <si>
    <t xml:space="preserve">Llevar el cambio de código al panel y comprobar que el anterior queda inactivo</t>
  </si>
  <si>
    <t xml:space="preserve">T2-21</t>
  </si>
  <si>
    <t xml:space="preserve">Redactar los casos de prueba del sprint a partir de los criterios de aceptación</t>
  </si>
  <si>
    <t xml:space="preserve">T2-22</t>
  </si>
  <si>
    <t xml:space="preserve">Probar cada pull request antes de aprobarlo (pruebas de la app y de reglas)</t>
  </si>
  <si>
    <t xml:space="preserve">T2-23</t>
  </si>
  <si>
    <t xml:space="preserve">Actualizar la documentación técnica: modelo de datos y diagrama de componentes</t>
  </si>
  <si>
    <t xml:space="preserve">T2-24</t>
  </si>
  <si>
    <t xml:space="preserve">Preparar la revisión del sprint y la demostración a la contraparte de la viña</t>
  </si>
  <si>
    <t xml:space="preserve">T2-25</t>
  </si>
  <si>
    <t xml:space="preserve">Facilitar la retrospectiva y registrar lo entregado</t>
  </si>
  <si>
    <t xml:space="preserve">Responsables propuestos según los roles del informe de la Fase 1; se confirman en la planificación del sprint.</t>
  </si>
  <si>
    <t xml:space="preserve">RecyTrack · Sprint Backlog · Sprint 3</t>
  </si>
  <si>
    <t xml:space="preserve">19 de octubre al 30 de octubre de 2026</t>
  </si>
  <si>
    <t xml:space="preserve">PB-13</t>
  </si>
  <si>
    <t xml:space="preserve">Como colaborador, quiero unirme a mi área con el código que me entrega el administrador, para que mis depósitos sumen a mi área.</t>
  </si>
  <si>
    <t xml:space="preserve">Un código inválido muestra un error claro. Un colaborador pertenece a una sola área.</t>
  </si>
  <si>
    <t xml:space="preserve">PB-14</t>
  </si>
  <si>
    <t xml:space="preserve">Como colaborador, quiero crear mi cuenta sin elegir un rol, para que el registro sea más simple y nadie se asigne permisos.</t>
  </si>
  <si>
    <t xml:space="preserve">El registro no muestra selector de rol. Toda cuenta nueva nace como colaborador.</t>
  </si>
  <si>
    <t xml:space="preserve">PB-15</t>
  </si>
  <si>
    <t xml:space="preserve">Como colaborador, quiero que mis depósitos se guarden sin mi nombre, para que mis compañeros solo vean los totales de mi área.</t>
  </si>
  <si>
    <t xml:space="preserve">El registro guarda el id del colaborador, la planta y el área, sin nombre. Solo el administrador puede leer los perfiles de su planta.</t>
  </si>
  <si>
    <t xml:space="preserve">PB-16</t>
  </si>
  <si>
    <t xml:space="preserve">Como colaborador, quiero escanear el QR del contenedor, para registrar mi depósito sin escribir nada.</t>
  </si>
  <si>
    <t xml:space="preserve">La cámara lee el QR en el navegador. El contenedor se valida contra la planta. El depósito queda pendiente.</t>
  </si>
  <si>
    <t xml:space="preserve">PB-17</t>
  </si>
  <si>
    <t xml:space="preserve">Como equipo de desarrollo, quiero que cada depósito sume al área de quien lo registra y no al contenedor, para que los puntos limpios se compartan entre áreas.</t>
  </si>
  <si>
    <t xml:space="preserve">Un depósito en cualquier contenedor de la planta suma al área del colaborador.</t>
  </si>
  <si>
    <t xml:space="preserve">PB-18</t>
  </si>
  <si>
    <t xml:space="preserve">Como equipo de desarrollo, quiero las reglas de seguridad del validador, para que solo él pueda validar o rechazar y solo en su planta.</t>
  </si>
  <si>
    <t xml:space="preserve">Las reglas permiten al validador pasar depósitos de pendiente a validado o rechazado y nada más. Pruebas de reglas pasan.</t>
  </si>
  <si>
    <t xml:space="preserve">PB-19</t>
  </si>
  <si>
    <t xml:space="preserve">Como validador, quiero ver los depósitos pendientes agrupados por contenedor, para revisarlos en una sola pasada.</t>
  </si>
  <si>
    <t xml:space="preserve">Cada contenedor muestra cuántos depósitos tiene y sus tallas. No se valida bolsa por bolsa.</t>
  </si>
  <si>
    <t xml:space="preserve">PB-20</t>
  </si>
  <si>
    <t xml:space="preserve">Como validador, quiero marcar cada contenedor como Conforme, Con observación o Sin material, para registrar lo que encontré.</t>
  </si>
  <si>
    <t xml:space="preserve">Cada resultado se guarda en una escritura atómica. Con observación pide el material encontrado. Sin material rechaza los depósitos.</t>
  </si>
  <si>
    <t xml:space="preserve">PB-21</t>
  </si>
  <si>
    <t xml:space="preserve">Como validador, quiero una vista que solo muestre la validación, para no confundirme con funciones de administración.</t>
  </si>
  <si>
    <t xml:space="preserve">Al entrar con rol validador solo se ve la ronda. No hay acceso al panel.</t>
  </si>
  <si>
    <t xml:space="preserve">T3-01</t>
  </si>
  <si>
    <t xml:space="preserve">T3-02</t>
  </si>
  <si>
    <t xml:space="preserve">T3-03</t>
  </si>
  <si>
    <t xml:space="preserve">T3-04</t>
  </si>
  <si>
    <t xml:space="preserve">T3-05</t>
  </si>
  <si>
    <t xml:space="preserve">T3-06</t>
  </si>
  <si>
    <t xml:space="preserve">T3-07</t>
  </si>
  <si>
    <t xml:space="preserve">T3-08</t>
  </si>
  <si>
    <t xml:space="preserve">T3-09</t>
  </si>
  <si>
    <t xml:space="preserve">T3-10</t>
  </si>
  <si>
    <t xml:space="preserve">T3-11</t>
  </si>
  <si>
    <t xml:space="preserve">T3-12</t>
  </si>
  <si>
    <t xml:space="preserve">Las tareas se definen en la planificación del sprint, a partir de las historias comprometidas.</t>
  </si>
  <si>
    <t xml:space="preserve">RecyTrack · Sprint Backlog · Sprint 4</t>
  </si>
  <si>
    <t xml:space="preserve">2 de noviembre al 13 de noviembre de 2026</t>
  </si>
  <si>
    <t xml:space="preserve">PB-22</t>
  </si>
  <si>
    <t xml:space="preserve">Como administrador, quiero registrar cada retiro con fecha, quién retira, número de guía, contenedores y peso opcional, para certificar en ese mismo registro los depósitos validados.</t>
  </si>
  <si>
    <t xml:space="preserve">El retiro y la certificación se guardan juntos o no se guarda nada. Sin guía se puede registrar igual.</t>
  </si>
  <si>
    <t xml:space="preserve">PB-23</t>
  </si>
  <si>
    <t xml:space="preserve">Como equipo de desarrollo, quiero eliminar la vista y el código de gestor, para que la app quede con los tres roles definidos.</t>
  </si>
  <si>
    <t xml:space="preserve">No existe pantalla ni rol de gestor. Las reglas no aceptan ese rol.</t>
  </si>
  <si>
    <t xml:space="preserve">PB-24</t>
  </si>
  <si>
    <t xml:space="preserve">Como colaborador, quiero descargar mi certificado mensual en PDF, para tener evidencia de lo que reciclé.</t>
  </si>
  <si>
    <t xml:space="preserve">Incluye kilos del mes, desglose por material, código único y detalle de cada depósito.</t>
  </si>
  <si>
    <t xml:space="preserve">PB-25</t>
  </si>
  <si>
    <t xml:space="preserve">Como administrador, quiero descargar el reporte mensual de la planta en PDF, para presentarlo en la gestión de sustentabilidad.</t>
  </si>
  <si>
    <t xml:space="preserve">Incluye participación por área, kilos por material, tiempos de cada etapa y observaciones. Se genera sin intervención manual.</t>
  </si>
  <si>
    <t xml:space="preserve">PB-26</t>
  </si>
  <si>
    <t xml:space="preserve">Como equipo de desarrollo, quiero borrar los datos y cuentas de prueba, para partir el piloto en limpio.</t>
  </si>
  <si>
    <t xml:space="preserve">Respaldo exportado antes de borrar. La base queda sin datos de prueba.</t>
  </si>
  <si>
    <t xml:space="preserve">PB-27</t>
  </si>
  <si>
    <t xml:space="preserve">Como administrador de la viña, quiero que mi planta, mi cuenta, las áreas, los contenedores y el validador queden configurados, para empezar el piloto.</t>
  </si>
  <si>
    <t xml:space="preserve">La contraparte entra al panel y ve su planta lista.</t>
  </si>
  <si>
    <t xml:space="preserve">PB-28</t>
  </si>
  <si>
    <t xml:space="preserve">Como administrador, quiero que al registrar el retiro se cierren las observaciones de esos contenedores, para no arrastrarlas al mes siguiente.</t>
  </si>
  <si>
    <t xml:space="preserve">Las observaciones de los contenedores retirados quedan atendidas con el código del retiro.</t>
  </si>
  <si>
    <t xml:space="preserve">PB-29</t>
  </si>
  <si>
    <t xml:space="preserve">Como administrador, quiero ver los retiros del mes con su guía y si el peso es estimado o verificado, para respaldar el reporte.</t>
  </si>
  <si>
    <t xml:space="preserve">Lista ordenada por fecha. Un retiro con peso se marca como verificado.</t>
  </si>
  <si>
    <t xml:space="preserve">PB-30</t>
  </si>
  <si>
    <t xml:space="preserve">Como validador, quiero recibir un aviso cuando hay depósitos por validar, para hacer la ronda a tiempo.</t>
  </si>
  <si>
    <t xml:space="preserve">El aviso aparece en la campana y como banner al abrir la app.</t>
  </si>
  <si>
    <t xml:space="preserve">T4-01</t>
  </si>
  <si>
    <t xml:space="preserve">T4-02</t>
  </si>
  <si>
    <t xml:space="preserve">T4-03</t>
  </si>
  <si>
    <t xml:space="preserve">T4-04</t>
  </si>
  <si>
    <t xml:space="preserve">T4-05</t>
  </si>
  <si>
    <t xml:space="preserve">T4-06</t>
  </si>
  <si>
    <t xml:space="preserve">T4-07</t>
  </si>
  <si>
    <t xml:space="preserve">T4-08</t>
  </si>
  <si>
    <t xml:space="preserve">T4-09</t>
  </si>
  <si>
    <t xml:space="preserve">T4-10</t>
  </si>
  <si>
    <t xml:space="preserve">T4-11</t>
  </si>
  <si>
    <t xml:space="preserve">T4-12</t>
  </si>
  <si>
    <t xml:space="preserve">RecyTrack · Sprint Backlog · Sprint 5</t>
  </si>
  <si>
    <t xml:space="preserve">16 de noviembre al 27 de noviembre de 2026</t>
  </si>
  <si>
    <t xml:space="preserve">PB-31</t>
  </si>
  <si>
    <t xml:space="preserve">Como colaborador, quiero ver el ranking de áreas ordenado por participación, para saber cómo va mi área frente a las demás.</t>
  </si>
  <si>
    <t xml:space="preserve">Ordena por porcentaje de la dotación que recicló en el mes. Muestra EcoPuntos por área. No muestra personas.</t>
  </si>
  <si>
    <t xml:space="preserve">PB-32</t>
  </si>
  <si>
    <t xml:space="preserve">Como administrador, quiero crear una campaña con meta de participación, incentivo y fecha de término, para motivar a las áreas.</t>
  </si>
  <si>
    <t xml:space="preserve">Una campaña activa por planta. La meta nunca se expresa en kilos.</t>
  </si>
  <si>
    <t xml:space="preserve">PB-33</t>
  </si>
  <si>
    <t xml:space="preserve">Como administrador, quiero ver un resumen del mes con participación, depósitos validados, kilos estimados, rondas y observaciones, para saber cómo va el programa.</t>
  </si>
  <si>
    <t xml:space="preserve">Los indicadores coinciden con el reporte mensual del mismo período.</t>
  </si>
  <si>
    <t xml:space="preserve">PB-34</t>
  </si>
  <si>
    <t xml:space="preserve">Como colaborador, quiero ver en Inicio el lugar de mi área y el incentivo vigente, para saber por qué estamos compitiendo.</t>
  </si>
  <si>
    <t xml:space="preserve">Tarjeta con área, posición en el ranking, avance de la campaña e incentivo.</t>
  </si>
  <si>
    <t xml:space="preserve">PB-35</t>
  </si>
  <si>
    <t xml:space="preserve">Como administrador, quiero ver el calendario de rondas del mes y la ronda de hoy, para saber si el validador está cumpliendo.</t>
  </si>
  <si>
    <t xml:space="preserve">Cada día se marca como completado o no según las validaciones registradas.</t>
  </si>
  <si>
    <t xml:space="preserve">PB-36</t>
  </si>
  <si>
    <t xml:space="preserve">Como colaborador, quiero seguir teniendo la misión semanal y sus puntos, para tener una meta personal corta.</t>
  </si>
  <si>
    <t xml:space="preserve">Could</t>
  </si>
  <si>
    <t xml:space="preserve">La misión rota cada semana y se calcula con depósitos no rechazados.</t>
  </si>
  <si>
    <t xml:space="preserve">PB-37</t>
  </si>
  <si>
    <t xml:space="preserve">Como administrador que entra desde el celular, quiero un mensaje que me pida abrir el panel en el computador, para no operar en una pantalla pequeña.</t>
  </si>
  <si>
    <t xml:space="preserve">En pantallas angostas se muestra el mensaje en lugar del panel.</t>
  </si>
  <si>
    <t xml:space="preserve">T5-01</t>
  </si>
  <si>
    <t xml:space="preserve">T5-02</t>
  </si>
  <si>
    <t xml:space="preserve">T5-03</t>
  </si>
  <si>
    <t xml:space="preserve">T5-04</t>
  </si>
  <si>
    <t xml:space="preserve">T5-05</t>
  </si>
  <si>
    <t xml:space="preserve">T5-06</t>
  </si>
  <si>
    <t xml:space="preserve">T5-07</t>
  </si>
  <si>
    <t xml:space="preserve">T5-08</t>
  </si>
  <si>
    <t xml:space="preserve">T5-09</t>
  </si>
  <si>
    <t xml:space="preserve">T5-10</t>
  </si>
  <si>
    <t xml:space="preserve">T5-11</t>
  </si>
  <si>
    <t xml:space="preserve">T5-12</t>
  </si>
  <si>
    <t xml:space="preserve">RecyTrack · Sprint Backlog · Sprint 6</t>
  </si>
  <si>
    <t xml:space="preserve">30 de noviembre al 18 de diciembre de 2026</t>
  </si>
  <si>
    <t xml:space="preserve">PB-38</t>
  </si>
  <si>
    <t xml:space="preserve">Como equipo, quiero ejecutar el plan de pruebas y medir las métricas del piloto, para comprobar si se cumplieron los objetivos.</t>
  </si>
  <si>
    <t xml:space="preserve">Se mide lectura de QR, rondas completadas, tiempo de la cadena, participación por área y documentos emitidos.</t>
  </si>
  <si>
    <t xml:space="preserve">PB-39</t>
  </si>
  <si>
    <t xml:space="preserve">Como equipo, quiero corregir los errores que aparezcan en el piloto, para cerrar con un producto estable.</t>
  </si>
  <si>
    <t xml:space="preserve">Los errores reportados quedan registrados y se resuelven por prioridad.</t>
  </si>
  <si>
    <t xml:space="preserve">PB-40</t>
  </si>
  <si>
    <t xml:space="preserve">Como administrador, quiero que la masa aparezca como verificada cuando el retiro tiene peso, para no presentar estimaciones como mediciones.</t>
  </si>
  <si>
    <t xml:space="preserve">Reporte y certificado distinguen kilos estimados y verificados.</t>
  </si>
  <si>
    <t xml:space="preserve">PB-41</t>
  </si>
  <si>
    <t xml:space="preserve">Como colaborador, quiero que toda la app use el nombre RecyTrack y el vocabulario de la planta, para reconocerla como el programa de mi lugar de trabajo.</t>
  </si>
  <si>
    <t xml:space="preserve">El nombre RecyTrack aparece en la app, el ícono instalable y los PDF. Todos los textos hablan de colaboradores, áreas y puntos limpios.</t>
  </si>
  <si>
    <t xml:space="preserve">PB-42</t>
  </si>
  <si>
    <t xml:space="preserve">Como colaborador, quiero ver mi área en Mi cuenta sin poder cambiarla yo, para que nadie suba la participación cambiándose.</t>
  </si>
  <si>
    <t xml:space="preserve">Mi cuenta muestra el área sin opción de editarla. Las reglas rechazan que un colaborador cambie su propia área.</t>
  </si>
  <si>
    <t xml:space="preserve">PB-43</t>
  </si>
  <si>
    <t xml:space="preserve">Como colaborador del turno de noche, quiero saber que mi depósito se valida en la ronda del día siguiente, para no pensar que se perdió.</t>
  </si>
  <si>
    <t xml:space="preserve">Al registrar fuera del horario de ronda se muestra un aviso breve.</t>
  </si>
  <si>
    <t xml:space="preserve">PB-44</t>
  </si>
  <si>
    <t xml:space="preserve">Como administrador de la viña, quiero una dirección web con el nombre RecyTrack, para compartirla con los colaboradores.</t>
  </si>
  <si>
    <t xml:space="preserve">La app responde en un sitio de hosting con el nombre RecyTrack.</t>
  </si>
  <si>
    <t xml:space="preserve">T6-01</t>
  </si>
  <si>
    <t xml:space="preserve">T6-02</t>
  </si>
  <si>
    <t xml:space="preserve">T6-03</t>
  </si>
  <si>
    <t xml:space="preserve">T6-04</t>
  </si>
  <si>
    <t xml:space="preserve">T6-05</t>
  </si>
  <si>
    <t xml:space="preserve">T6-06</t>
  </si>
  <si>
    <t xml:space="preserve">T6-07</t>
  </si>
  <si>
    <t xml:space="preserve">T6-08</t>
  </si>
  <si>
    <t xml:space="preserve">T6-09</t>
  </si>
  <si>
    <t xml:space="preserve">T6-10</t>
  </si>
  <si>
    <t xml:space="preserve">T6-11</t>
  </si>
  <si>
    <t xml:space="preserve">T6-12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</si>
</sst>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General"/>
    <numFmt numFmtId="167" formatCode="dd\-mm\-yyyy"/>
    <numFmt numFmtId="168" formatCode="dd\-mm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3A"/>
      <name val="Arial"/>
      <family val="0"/>
      <charset val="1"/>
    </font>
    <font>
      <i val="true"/>
      <sz val="9"/>
      <color rgb="FF5F6B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C3A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C3A"/>
        <bgColor rgb="FF008000"/>
      </patternFill>
    </fill>
    <fill>
      <patternFill patternType="solid">
        <fgColor rgb="FFE3EEE6"/>
        <bgColor rgb="FFD7EB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2"/>
      </left>
      <right style="thin">
        <color rgb="FFBFC9C2"/>
      </right>
      <top style="thin">
        <color rgb="FFBFC9C2"/>
      </top>
      <bottom style="thin">
        <color rgb="FFBFC9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7EBDD"/>
        </patternFill>
      </fill>
    </dxf>
    <dxf>
      <fill>
        <patternFill>
          <bgColor rgb="FFDCE8F7"/>
        </patternFill>
      </fill>
    </dxf>
    <dxf>
      <fill>
        <patternFill>
          <bgColor rgb="FFFFF1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2"/>
      <rgbColor rgb="FF878787"/>
      <rgbColor rgb="FF9999FF"/>
      <rgbColor rgb="FF993366"/>
      <rgbColor rgb="FFFFF1CC"/>
      <rgbColor rgb="FFDCE8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E6"/>
      <rgbColor rgb="FFD7EBDD"/>
      <rgbColor rgb="FFFFFF99"/>
      <rgbColor rgb="FFBFD8C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63"/>
      <rgbColor rgb="FF9AA39D"/>
      <rgbColor rgb="FF003366"/>
      <rgbColor rgb="FF339966"/>
      <rgbColor rgb="FF003300"/>
      <rgbColor rgb="FF333300"/>
      <rgbColor rgb="FF993300"/>
      <rgbColor rgb="FF993366"/>
      <rgbColor rgb="FF333399"/>
      <rgbColor rgb="FF1F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Puntos por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Resumen!G4</c:f>
              <c:strCache>
                <c:ptCount val="1"/>
                <c:pt idx="0">
                  <c:v>Puntos comprometidos</c:v>
                </c:pt>
              </c:strCache>
            </c:strRef>
          </c:tx>
          <c:spPr>
            <a:solidFill>
              <a:srgbClr val="bfd8c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Resumen!$A$6:$A$11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Resumen!$G$5:$G$11</c:f>
              <c:numCache>
                <c:formatCode>General</c:formatCode>
                <c:ptCount val="7"/>
                <c:pt idx="1">
                  <c:v>11</c:v>
                </c:pt>
                <c:pt idx="2">
                  <c:v>31</c:v>
                </c:pt>
                <c:pt idx="3">
                  <c:v>33</c:v>
                </c:pt>
                <c:pt idx="4">
                  <c:v>30</c:v>
                </c:pt>
                <c:pt idx="5">
                  <c:v>25</c:v>
                </c:pt>
                <c:pt idx="6">
                  <c:v>20</c:v>
                </c:pt>
              </c:numCache>
            </c:numRef>
          </c:val>
        </c:ser>
        <c:ser>
          <c:idx val="1"/>
          <c:order val="1"/>
          <c:tx>
            <c:strRef>
              <c:f>Resumen!H4</c:f>
              <c:strCache>
                <c:ptCount val="1"/>
                <c:pt idx="0">
                  <c:v>Puntos terminados</c:v>
                </c:pt>
              </c:strCache>
            </c:strRef>
          </c:tx>
          <c:spPr>
            <a:solidFill>
              <a:srgbClr val="1f5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Resumen!$A$6:$A$11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Resumen!$H$5:$H$11</c:f>
              <c:numCache>
                <c:formatCode>General</c:formatCode>
                <c:ptCount val="7"/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48307665"/>
        <c:axId val="72129675"/>
      </c:barChart>
      <c:catAx>
        <c:axId val="48307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29675"/>
        <c:crosses val="autoZero"/>
        <c:auto val="1"/>
        <c:lblAlgn val="ctr"/>
        <c:lblOffset val="100"/>
        <c:noMultiLvlLbl val="0"/>
      </c:catAx>
      <c:valAx>
        <c:axId val="72129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07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S2!L11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9aa39d"/>
            </a:solidFill>
            <a:ln w="28440">
              <a:solidFill>
                <a:srgbClr val="9aa39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S2!$J$12:$J$20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S2!$L$12:$L$20</c:f>
              <c:numCache>
                <c:formatCode>0.0</c:formatCode>
                <c:ptCount val="9"/>
                <c:pt idx="0">
                  <c:v>31</c:v>
                </c:pt>
                <c:pt idx="1">
                  <c:v>27.125</c:v>
                </c:pt>
                <c:pt idx="2">
                  <c:v>23.25</c:v>
                </c:pt>
                <c:pt idx="3">
                  <c:v>19.375</c:v>
                </c:pt>
                <c:pt idx="4">
                  <c:v>15.5</c:v>
                </c:pt>
                <c:pt idx="5">
                  <c:v>11.625</c:v>
                </c:pt>
                <c:pt idx="6">
                  <c:v>7.75</c:v>
                </c:pt>
                <c:pt idx="7">
                  <c:v>3.875</c:v>
                </c:pt>
                <c:pt idx="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S2!M11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5c3a"/>
            </a:solidFill>
            <a:ln w="28440">
              <a:solidFill>
                <a:srgbClr val="1f5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S2!$J$12:$J$20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S2!$M$12:$M$20</c:f>
              <c:numCache>
                <c:formatCode>General</c:formatCode>
                <c:ptCount val="9"/>
                <c:pt idx="0">
                  <c:v>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074376"/>
        <c:axId val="5669551"/>
      </c:lineChart>
      <c:catAx>
        <c:axId val="120743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hábil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9551"/>
        <c:crosses val="autoZero"/>
        <c:auto val="1"/>
        <c:lblAlgn val="ctr"/>
        <c:lblOffset val="100"/>
        <c:noMultiLvlLbl val="0"/>
      </c:catAx>
      <c:valAx>
        <c:axId val="566955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743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S3!L11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9aa39d"/>
            </a:solidFill>
            <a:ln w="28440">
              <a:solidFill>
                <a:srgbClr val="9aa39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S3!$J$12:$J$21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S3!$L$12:$L$21</c:f>
              <c:numCache>
                <c:formatCode>0.0</c:formatCode>
                <c:ptCount val="10"/>
                <c:pt idx="0">
                  <c:v>33</c:v>
                </c:pt>
                <c:pt idx="1">
                  <c:v>29.3333333333333</c:v>
                </c:pt>
                <c:pt idx="2">
                  <c:v>25.6666666666667</c:v>
                </c:pt>
                <c:pt idx="3">
                  <c:v>22</c:v>
                </c:pt>
                <c:pt idx="4">
                  <c:v>18.3333333333333</c:v>
                </c:pt>
                <c:pt idx="5">
                  <c:v>14.6666666666667</c:v>
                </c:pt>
                <c:pt idx="6">
                  <c:v>11</c:v>
                </c:pt>
                <c:pt idx="7">
                  <c:v>7.33333333333333</c:v>
                </c:pt>
                <c:pt idx="8">
                  <c:v>3.66666666666667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S3!M11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5c3a"/>
            </a:solidFill>
            <a:ln w="28440">
              <a:solidFill>
                <a:srgbClr val="1f5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S3!$J$12:$J$21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S3!$M$12:$M$21</c:f>
              <c:numCache>
                <c:formatCode>General</c:formatCode>
                <c:ptCount val="1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322529"/>
        <c:axId val="24672075"/>
      </c:lineChart>
      <c:catAx>
        <c:axId val="97322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hábil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72075"/>
        <c:crosses val="autoZero"/>
        <c:auto val="1"/>
        <c:lblAlgn val="ctr"/>
        <c:lblOffset val="100"/>
        <c:noMultiLvlLbl val="0"/>
      </c:catAx>
      <c:valAx>
        <c:axId val="2467207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22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S4!L11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9aa39d"/>
            </a:solidFill>
            <a:ln w="28440">
              <a:solidFill>
                <a:srgbClr val="9aa39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S4!$J$12:$J$21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S4!$L$12:$L$21</c:f>
              <c:numCache>
                <c:formatCode>0.0</c:formatCode>
                <c:ptCount val="10"/>
                <c:pt idx="0">
                  <c:v>30</c:v>
                </c:pt>
                <c:pt idx="1">
                  <c:v>26.6666666666667</c:v>
                </c:pt>
                <c:pt idx="2">
                  <c:v>23.3333333333333</c:v>
                </c:pt>
                <c:pt idx="3">
                  <c:v>20</c:v>
                </c:pt>
                <c:pt idx="4">
                  <c:v>16.6666666666667</c:v>
                </c:pt>
                <c:pt idx="5">
                  <c:v>13.3333333333333</c:v>
                </c:pt>
                <c:pt idx="6">
                  <c:v>10</c:v>
                </c:pt>
                <c:pt idx="7">
                  <c:v>6.66666666666667</c:v>
                </c:pt>
                <c:pt idx="8">
                  <c:v>3.33333333333333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S4!M11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5c3a"/>
            </a:solidFill>
            <a:ln w="28440">
              <a:solidFill>
                <a:srgbClr val="1f5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S4!$J$12:$J$21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S4!$M$12:$M$21</c:f>
              <c:numCache>
                <c:formatCode>General</c:formatCode>
                <c:ptCount val="1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086114"/>
        <c:axId val="62998464"/>
      </c:lineChart>
      <c:catAx>
        <c:axId val="780861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hábil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98464"/>
        <c:crosses val="autoZero"/>
        <c:auto val="1"/>
        <c:lblAlgn val="ctr"/>
        <c:lblOffset val="100"/>
        <c:noMultiLvlLbl val="0"/>
      </c:catAx>
      <c:valAx>
        <c:axId val="6299846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86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S5!L11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9aa39d"/>
            </a:solidFill>
            <a:ln w="28440">
              <a:solidFill>
                <a:srgbClr val="9aa39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S5!$J$12:$J$21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S5!$L$12:$L$21</c:f>
              <c:numCache>
                <c:formatCode>0.0</c:formatCode>
                <c:ptCount val="10"/>
                <c:pt idx="0">
                  <c:v>25</c:v>
                </c:pt>
                <c:pt idx="1">
                  <c:v>22.2222222222222</c:v>
                </c:pt>
                <c:pt idx="2">
                  <c:v>19.4444444444444</c:v>
                </c:pt>
                <c:pt idx="3">
                  <c:v>16.6666666666667</c:v>
                </c:pt>
                <c:pt idx="4">
                  <c:v>13.8888888888889</c:v>
                </c:pt>
                <c:pt idx="5">
                  <c:v>11.1111111111111</c:v>
                </c:pt>
                <c:pt idx="6">
                  <c:v>8.33333333333333</c:v>
                </c:pt>
                <c:pt idx="7">
                  <c:v>5.55555555555556</c:v>
                </c:pt>
                <c:pt idx="8">
                  <c:v>2.77777777777778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S5!M11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5c3a"/>
            </a:solidFill>
            <a:ln w="28440">
              <a:solidFill>
                <a:srgbClr val="1f5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S5!$J$12:$J$21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S5!$M$12:$M$21</c:f>
              <c:numCache>
                <c:formatCode>General</c:formatCode>
                <c:ptCount val="1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427827"/>
        <c:axId val="64802094"/>
      </c:lineChart>
      <c:catAx>
        <c:axId val="404278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hábil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02094"/>
        <c:crosses val="autoZero"/>
        <c:auto val="1"/>
        <c:lblAlgn val="ctr"/>
        <c:lblOffset val="100"/>
        <c:noMultiLvlLbl val="0"/>
      </c:catAx>
      <c:valAx>
        <c:axId val="6480209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278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S6!L11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9aa39d"/>
            </a:solidFill>
            <a:ln w="28440">
              <a:solidFill>
                <a:srgbClr val="9aa39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S6!$J$12:$J$25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S6!$L$12:$L$25</c:f>
              <c:numCache>
                <c:formatCode>0.0</c:formatCode>
                <c:ptCount val="14"/>
                <c:pt idx="0">
                  <c:v>20</c:v>
                </c:pt>
                <c:pt idx="1">
                  <c:v>18.4615384615385</c:v>
                </c:pt>
                <c:pt idx="2">
                  <c:v>16.9230769230769</c:v>
                </c:pt>
                <c:pt idx="3">
                  <c:v>15.3846153846154</c:v>
                </c:pt>
                <c:pt idx="4">
                  <c:v>13.8461538461538</c:v>
                </c:pt>
                <c:pt idx="5">
                  <c:v>12.3076923076923</c:v>
                </c:pt>
                <c:pt idx="6">
                  <c:v>10.7692307692308</c:v>
                </c:pt>
                <c:pt idx="7">
                  <c:v>9.23076923076923</c:v>
                </c:pt>
                <c:pt idx="8">
                  <c:v>7.69230769230769</c:v>
                </c:pt>
                <c:pt idx="9">
                  <c:v>6.15384615384615</c:v>
                </c:pt>
                <c:pt idx="10">
                  <c:v>4.61538461538462</c:v>
                </c:pt>
                <c:pt idx="11">
                  <c:v>3.07692307692308</c:v>
                </c:pt>
                <c:pt idx="12">
                  <c:v>1.53846153846154</c:v>
                </c:pt>
                <c:pt idx="13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S6!M11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5c3a"/>
            </a:solidFill>
            <a:ln w="28440">
              <a:solidFill>
                <a:srgbClr val="1f5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S6!$J$12:$J$25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S6!$M$12:$M$25</c:f>
              <c:numCache>
                <c:formatCode>General</c:formatCode>
                <c:ptCount val="1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855432"/>
        <c:axId val="15458994"/>
      </c:lineChart>
      <c:catAx>
        <c:axId val="498554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hábil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58994"/>
        <c:crosses val="autoZero"/>
        <c:auto val="1"/>
        <c:lblAlgn val="ctr"/>
        <c:lblOffset val="100"/>
        <c:noMultiLvlLbl val="0"/>
      </c:catAx>
      <c:valAx>
        <c:axId val="1545899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55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165960</xdr:rowOff>
    </xdr:from>
    <xdr:to>
      <xdr:col>4</xdr:col>
      <xdr:colOff>669600</xdr:colOff>
      <xdr:row>23</xdr:row>
      <xdr:rowOff>22320</xdr:rowOff>
    </xdr:to>
    <xdr:graphicFrame>
      <xdr:nvGraphicFramePr>
        <xdr:cNvPr id="0" name="Chart 1"/>
        <xdr:cNvGraphicFramePr/>
      </xdr:nvGraphicFramePr>
      <xdr:xfrm>
        <a:off x="2255400" y="30481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15</xdr:row>
      <xdr:rowOff>229320</xdr:rowOff>
    </xdr:from>
    <xdr:to>
      <xdr:col>16</xdr:col>
      <xdr:colOff>567000</xdr:colOff>
      <xdr:row>25</xdr:row>
      <xdr:rowOff>264960</xdr:rowOff>
    </xdr:to>
    <xdr:graphicFrame>
      <xdr:nvGraphicFramePr>
        <xdr:cNvPr id="1" name="Chart 1"/>
        <xdr:cNvGraphicFramePr/>
      </xdr:nvGraphicFramePr>
      <xdr:xfrm>
        <a:off x="12687480" y="4191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16</xdr:row>
      <xdr:rowOff>268560</xdr:rowOff>
    </xdr:from>
    <xdr:to>
      <xdr:col>16</xdr:col>
      <xdr:colOff>567000</xdr:colOff>
      <xdr:row>26</xdr:row>
      <xdr:rowOff>132120</xdr:rowOff>
    </xdr:to>
    <xdr:graphicFrame>
      <xdr:nvGraphicFramePr>
        <xdr:cNvPr id="2" name="Chart 1"/>
        <xdr:cNvGraphicFramePr/>
      </xdr:nvGraphicFramePr>
      <xdr:xfrm>
        <a:off x="12687480" y="43815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16</xdr:row>
      <xdr:rowOff>268560</xdr:rowOff>
    </xdr:from>
    <xdr:to>
      <xdr:col>16</xdr:col>
      <xdr:colOff>567000</xdr:colOff>
      <xdr:row>28</xdr:row>
      <xdr:rowOff>16560</xdr:rowOff>
    </xdr:to>
    <xdr:graphicFrame>
      <xdr:nvGraphicFramePr>
        <xdr:cNvPr id="3" name="Chart 1"/>
        <xdr:cNvGraphicFramePr/>
      </xdr:nvGraphicFramePr>
      <xdr:xfrm>
        <a:off x="12687480" y="43815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17</xdr:row>
      <xdr:rowOff>117360</xdr:rowOff>
    </xdr:from>
    <xdr:to>
      <xdr:col>16</xdr:col>
      <xdr:colOff>567000</xdr:colOff>
      <xdr:row>29</xdr:row>
      <xdr:rowOff>12600</xdr:rowOff>
    </xdr:to>
    <xdr:graphicFrame>
      <xdr:nvGraphicFramePr>
        <xdr:cNvPr id="4" name="Chart 1"/>
        <xdr:cNvGraphicFramePr/>
      </xdr:nvGraphicFramePr>
      <xdr:xfrm>
        <a:off x="12687480" y="43815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20</xdr:row>
      <xdr:rowOff>214920</xdr:rowOff>
    </xdr:from>
    <xdr:to>
      <xdr:col>16</xdr:col>
      <xdr:colOff>567000</xdr:colOff>
      <xdr:row>33</xdr:row>
      <xdr:rowOff>145440</xdr:rowOff>
    </xdr:to>
    <xdr:graphicFrame>
      <xdr:nvGraphicFramePr>
        <xdr:cNvPr id="5" name="Chart 1"/>
        <xdr:cNvGraphicFramePr/>
      </xdr:nvGraphicFramePr>
      <xdr:xfrm>
        <a:off x="12687480" y="5143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6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2.35" hidden="false" customHeight="false" outlineLevel="0" collapsed="false">
      <c r="A5" s="4" t="s">
        <v>11</v>
      </c>
      <c r="B5" s="4" t="s">
        <v>12</v>
      </c>
      <c r="C5" s="5" t="s">
        <v>13</v>
      </c>
      <c r="D5" s="5" t="s">
        <v>14</v>
      </c>
      <c r="E5" s="6" t="s">
        <v>15</v>
      </c>
      <c r="F5" s="4" t="s">
        <v>16</v>
      </c>
      <c r="G5" s="4" t="s">
        <v>16</v>
      </c>
      <c r="H5" s="4" t="s">
        <v>16</v>
      </c>
      <c r="I5" s="4" t="s">
        <v>16</v>
      </c>
    </row>
    <row r="6" customFormat="false" ht="22.35" hidden="false" customHeight="false" outlineLevel="0" collapsed="false">
      <c r="A6" s="4" t="s">
        <v>17</v>
      </c>
      <c r="B6" s="4" t="s">
        <v>18</v>
      </c>
      <c r="C6" s="5" t="s">
        <v>19</v>
      </c>
      <c r="D6" s="5" t="s">
        <v>20</v>
      </c>
      <c r="E6" s="4" t="str">
        <f aca="false">S1!B6</f>
        <v>Cerrado</v>
      </c>
      <c r="F6" s="4" t="n">
        <v>5</v>
      </c>
      <c r="G6" s="4" t="n">
        <f aca="false">S1!B7</f>
        <v>11</v>
      </c>
      <c r="H6" s="4" t="n">
        <f aca="false">S1!B8</f>
        <v>11</v>
      </c>
      <c r="I6" s="7" t="n">
        <f aca="false">IF(G6=0,0,H6/G6)</f>
        <v>1</v>
      </c>
    </row>
    <row r="7" customFormat="false" ht="32.8" hidden="false" customHeight="false" outlineLevel="0" collapsed="false">
      <c r="A7" s="4" t="s">
        <v>21</v>
      </c>
      <c r="B7" s="4" t="s">
        <v>22</v>
      </c>
      <c r="C7" s="5" t="s">
        <v>23</v>
      </c>
      <c r="D7" s="5" t="s">
        <v>24</v>
      </c>
      <c r="E7" s="4" t="str">
        <f aca="false">S2!B6</f>
        <v>En curso</v>
      </c>
      <c r="F7" s="4" t="n">
        <v>7</v>
      </c>
      <c r="G7" s="4" t="n">
        <f aca="false">S2!B7</f>
        <v>31</v>
      </c>
      <c r="H7" s="4" t="n">
        <f aca="false">S2!B8</f>
        <v>0</v>
      </c>
      <c r="I7" s="7" t="n">
        <f aca="false">IF(G7=0,0,H7/G7)</f>
        <v>0</v>
      </c>
    </row>
    <row r="8" customFormat="false" ht="22.35" hidden="false" customHeight="false" outlineLevel="0" collapsed="false">
      <c r="A8" s="4" t="s">
        <v>25</v>
      </c>
      <c r="B8" s="4" t="s">
        <v>26</v>
      </c>
      <c r="C8" s="5" t="s">
        <v>27</v>
      </c>
      <c r="D8" s="5" t="s">
        <v>28</v>
      </c>
      <c r="E8" s="4" t="str">
        <f aca="false">S3!B6</f>
        <v>Planificado</v>
      </c>
      <c r="F8" s="4" t="n">
        <v>9</v>
      </c>
      <c r="G8" s="4" t="n">
        <f aca="false">S3!B7</f>
        <v>33</v>
      </c>
      <c r="H8" s="4" t="n">
        <f aca="false">S3!B8</f>
        <v>0</v>
      </c>
      <c r="I8" s="7" t="n">
        <f aca="false">IF(G8=0,0,H8/G8)</f>
        <v>0</v>
      </c>
    </row>
    <row r="9" customFormat="false" ht="22.35" hidden="false" customHeight="false" outlineLevel="0" collapsed="false">
      <c r="A9" s="4" t="s">
        <v>29</v>
      </c>
      <c r="B9" s="4" t="s">
        <v>30</v>
      </c>
      <c r="C9" s="5" t="s">
        <v>31</v>
      </c>
      <c r="D9" s="5" t="s">
        <v>32</v>
      </c>
      <c r="E9" s="4" t="str">
        <f aca="false">S4!B6</f>
        <v>Planificado</v>
      </c>
      <c r="F9" s="4" t="n">
        <v>9</v>
      </c>
      <c r="G9" s="4" t="n">
        <f aca="false">S4!B7</f>
        <v>30</v>
      </c>
      <c r="H9" s="4" t="n">
        <f aca="false">S4!B8</f>
        <v>0</v>
      </c>
      <c r="I9" s="7" t="n">
        <f aca="false">IF(G9=0,0,H9/G9)</f>
        <v>0</v>
      </c>
    </row>
    <row r="10" customFormat="false" ht="22.35" hidden="false" customHeight="false" outlineLevel="0" collapsed="false">
      <c r="A10" s="4" t="s">
        <v>33</v>
      </c>
      <c r="B10" s="4" t="s">
        <v>34</v>
      </c>
      <c r="C10" s="5" t="s">
        <v>35</v>
      </c>
      <c r="D10" s="5" t="s">
        <v>36</v>
      </c>
      <c r="E10" s="4" t="str">
        <f aca="false">S5!B6</f>
        <v>Planificado</v>
      </c>
      <c r="F10" s="4" t="n">
        <v>7</v>
      </c>
      <c r="G10" s="4" t="n">
        <f aca="false">S5!B7</f>
        <v>25</v>
      </c>
      <c r="H10" s="4" t="n">
        <f aca="false">S5!B8</f>
        <v>0</v>
      </c>
      <c r="I10" s="7" t="n">
        <f aca="false">IF(G10=0,0,H10/G10)</f>
        <v>0</v>
      </c>
    </row>
    <row r="11" customFormat="false" ht="22.35" hidden="false" customHeight="false" outlineLevel="0" collapsed="false">
      <c r="A11" s="4" t="s">
        <v>37</v>
      </c>
      <c r="B11" s="4" t="s">
        <v>38</v>
      </c>
      <c r="C11" s="5" t="s">
        <v>39</v>
      </c>
      <c r="D11" s="5" t="s">
        <v>40</v>
      </c>
      <c r="E11" s="4" t="str">
        <f aca="false">S6!B6</f>
        <v>Planificado</v>
      </c>
      <c r="F11" s="4" t="n">
        <v>7</v>
      </c>
      <c r="G11" s="4" t="n">
        <f aca="false">S6!B7</f>
        <v>20</v>
      </c>
      <c r="H11" s="4" t="n">
        <f aca="false">S6!B8</f>
        <v>0</v>
      </c>
      <c r="I11" s="7" t="n">
        <f aca="false">IF(G11=0,0,H11/G11)</f>
        <v>0</v>
      </c>
    </row>
    <row r="12" customFormat="false" ht="22.35" hidden="false" customHeight="false" outlineLevel="0" collapsed="false">
      <c r="A12" s="4" t="s">
        <v>41</v>
      </c>
      <c r="B12" s="4" t="s">
        <v>42</v>
      </c>
      <c r="C12" s="5" t="s">
        <v>43</v>
      </c>
      <c r="D12" s="5" t="s">
        <v>44</v>
      </c>
      <c r="E12" s="4" t="s">
        <v>45</v>
      </c>
      <c r="F12" s="4" t="s">
        <v>16</v>
      </c>
      <c r="G12" s="4" t="s">
        <v>16</v>
      </c>
      <c r="H12" s="4" t="s">
        <v>16</v>
      </c>
      <c r="I12" s="4" t="s">
        <v>16</v>
      </c>
    </row>
    <row r="13" customFormat="false" ht="15" hidden="false" customHeight="false" outlineLevel="0" collapsed="false">
      <c r="A13" s="8" t="s">
        <v>46</v>
      </c>
      <c r="B13" s="9"/>
      <c r="C13" s="9"/>
      <c r="D13" s="9"/>
      <c r="E13" s="9"/>
      <c r="F13" s="10" t="n">
        <f aca="false">SUM(F6:F11)</f>
        <v>44</v>
      </c>
      <c r="G13" s="10" t="n">
        <f aca="false">SUM(G6:G11)</f>
        <v>150</v>
      </c>
      <c r="H13" s="10" t="n">
        <f aca="false">SUM(H6:H11)</f>
        <v>11</v>
      </c>
      <c r="I13" s="11" t="n">
        <f aca="false">IF(G13=0,0,H13/G13)</f>
        <v>0.0733333333333333</v>
      </c>
    </row>
    <row r="15" customFormat="false" ht="15" hidden="false" customHeight="false" outlineLevel="0" collapsed="false">
      <c r="A15" s="2" t="inlineStr">
        <is>
          <t xml:space="preserve">Las historias de cada sprint vienen del Product Backlog. Las que quedan para después del piloto no se asignan a ningún sprint. En el S2 se terminaron también historias planificadas para S3, S4 y S5; en sus hojas aparecen como Hecho con la fecha real.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true" outlineLevel="0" collapsed="false">
      <c r="A3" s="12" t="s">
        <v>3</v>
      </c>
      <c r="B3" s="13" t="s">
        <v>18</v>
      </c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12" t="s">
        <v>4</v>
      </c>
      <c r="B4" s="13" t="s">
        <v>49</v>
      </c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A5" s="12" t="s">
        <v>50</v>
      </c>
      <c r="B5" s="13" t="s">
        <v>20</v>
      </c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2" t="s">
        <v>51</v>
      </c>
      <c r="B6" s="13" t="s">
        <v>52</v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2" t="s">
        <v>8</v>
      </c>
      <c r="B7" s="13" t="n">
        <f aca="false">SUM(D12:D16)</f>
        <v>11</v>
      </c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2" t="s">
        <v>9</v>
      </c>
      <c r="B8" s="13" t="n">
        <f aca="false">SUMIF(F12:F16,"Hecho",D12:D16)</f>
        <v>11</v>
      </c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2" t="s">
        <v>10</v>
      </c>
      <c r="B9" s="14" t="n">
        <f aca="false">IF(B7=0,0,B8/B7)</f>
        <v>1</v>
      </c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5" t="s">
        <v>53</v>
      </c>
      <c r="J10" s="15" t="s">
        <v>54</v>
      </c>
    </row>
    <row r="11" customFormat="false" ht="23.85" hidden="false" customHeight="tru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</v>
      </c>
      <c r="G11" s="3" t="s">
        <v>60</v>
      </c>
      <c r="H11" s="3" t="s">
        <v>61</v>
      </c>
      <c r="J11" s="16" t="s">
        <v>62</v>
      </c>
      <c r="K11" s="16"/>
      <c r="L11" s="16"/>
      <c r="M11" s="16"/>
      <c r="N11" s="16"/>
    </row>
    <row r="12" customFormat="false" ht="32.8" hidden="false" customHeight="false" outlineLevel="0" collapsed="false">
      <c r="A12" s="4" t="s">
        <v>63</v>
      </c>
      <c r="B12" s="5" t="s">
        <v>64</v>
      </c>
      <c r="C12" s="4" t="s">
        <v>65</v>
      </c>
      <c r="D12" s="4" t="n">
        <v>3</v>
      </c>
      <c r="E12" s="17" t="s">
        <v>66</v>
      </c>
      <c r="F12" s="6" t="s">
        <v>67</v>
      </c>
      <c r="G12" s="18" t="n">
        <v>46289</v>
      </c>
      <c r="H12" s="5" t="s">
        <v>68</v>
      </c>
      <c r="J12" s="16"/>
      <c r="K12" s="16"/>
      <c r="L12" s="16"/>
      <c r="M12" s="16"/>
      <c r="N12" s="16"/>
    </row>
    <row r="13" customFormat="false" ht="22.35" hidden="false" customHeight="false" outlineLevel="0" collapsed="false">
      <c r="A13" s="4" t="s">
        <v>69</v>
      </c>
      <c r="B13" s="5" t="s">
        <v>70</v>
      </c>
      <c r="C13" s="4" t="s">
        <v>65</v>
      </c>
      <c r="D13" s="4" t="n">
        <v>1</v>
      </c>
      <c r="E13" s="17" t="s">
        <v>66</v>
      </c>
      <c r="F13" s="6" t="s">
        <v>67</v>
      </c>
      <c r="G13" s="18" t="n">
        <v>46286</v>
      </c>
      <c r="H13" s="5" t="s">
        <v>71</v>
      </c>
      <c r="J13" s="16"/>
      <c r="K13" s="16"/>
      <c r="L13" s="16"/>
      <c r="M13" s="16"/>
      <c r="N13" s="16"/>
    </row>
    <row r="14" customFormat="false" ht="22.35" hidden="false" customHeight="false" outlineLevel="0" collapsed="false">
      <c r="A14" s="4" t="s">
        <v>72</v>
      </c>
      <c r="B14" s="5" t="s">
        <v>73</v>
      </c>
      <c r="C14" s="4" t="s">
        <v>65</v>
      </c>
      <c r="D14" s="4" t="n">
        <v>3</v>
      </c>
      <c r="E14" s="17" t="s">
        <v>66</v>
      </c>
      <c r="F14" s="6" t="s">
        <v>67</v>
      </c>
      <c r="G14" s="18" t="n">
        <v>46289</v>
      </c>
      <c r="H14" s="5" t="s">
        <v>74</v>
      </c>
      <c r="J14" s="16"/>
      <c r="K14" s="16"/>
      <c r="L14" s="16"/>
      <c r="M14" s="16"/>
      <c r="N14" s="16"/>
    </row>
    <row r="15" customFormat="false" ht="22.35" hidden="false" customHeight="false" outlineLevel="0" collapsed="false">
      <c r="A15" s="4" t="s">
        <v>75</v>
      </c>
      <c r="B15" s="5" t="s">
        <v>76</v>
      </c>
      <c r="C15" s="4" t="s">
        <v>77</v>
      </c>
      <c r="D15" s="4" t="n">
        <v>3</v>
      </c>
      <c r="E15" s="17" t="s">
        <v>66</v>
      </c>
      <c r="F15" s="6" t="s">
        <v>67</v>
      </c>
      <c r="G15" s="18" t="n">
        <v>46295</v>
      </c>
      <c r="H15" s="5" t="s">
        <v>78</v>
      </c>
      <c r="J15" s="16"/>
      <c r="K15" s="16"/>
      <c r="L15" s="16"/>
      <c r="M15" s="16"/>
      <c r="N15" s="16"/>
    </row>
    <row r="16" customFormat="false" ht="22.35" hidden="false" customHeight="false" outlineLevel="0" collapsed="false">
      <c r="A16" s="4" t="s">
        <v>79</v>
      </c>
      <c r="B16" s="5" t="s">
        <v>80</v>
      </c>
      <c r="C16" s="4" t="s">
        <v>77</v>
      </c>
      <c r="D16" s="4" t="n">
        <v>1</v>
      </c>
      <c r="E16" s="17" t="s">
        <v>66</v>
      </c>
      <c r="F16" s="6" t="s">
        <v>67</v>
      </c>
      <c r="G16" s="18" t="n">
        <v>46288</v>
      </c>
      <c r="H16" s="5" t="s">
        <v>81</v>
      </c>
      <c r="J16" s="16"/>
      <c r="K16" s="16"/>
      <c r="L16" s="16"/>
      <c r="M16" s="16"/>
      <c r="N16" s="16"/>
    </row>
    <row r="17" customFormat="false" ht="15" hidden="false" customHeight="false" outlineLevel="0" collapsed="false">
      <c r="J17" s="16"/>
      <c r="K17" s="16"/>
      <c r="L17" s="16"/>
      <c r="M17" s="16"/>
      <c r="N17" s="16"/>
    </row>
    <row r="18" customFormat="false" ht="15" hidden="false" customHeight="false" outlineLevel="0" collapsed="false">
      <c r="A18" s="15" t="s">
        <v>82</v>
      </c>
      <c r="J18" s="16"/>
      <c r="K18" s="16"/>
      <c r="L18" s="16"/>
      <c r="M18" s="16"/>
      <c r="N18" s="16"/>
    </row>
    <row r="19" customFormat="false" ht="23.85" hidden="false" customHeight="false" outlineLevel="0" collapsed="false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59</v>
      </c>
      <c r="F19" s="3" t="s">
        <v>6</v>
      </c>
      <c r="G19" s="3" t="s">
        <v>87</v>
      </c>
      <c r="H19" s="3" t="s">
        <v>88</v>
      </c>
    </row>
    <row r="20" customFormat="false" ht="15" hidden="false" customHeight="false" outlineLevel="0" collapsed="false">
      <c r="A20" s="4" t="s">
        <v>89</v>
      </c>
      <c r="B20" s="5" t="s">
        <v>90</v>
      </c>
      <c r="C20" s="4" t="s">
        <v>91</v>
      </c>
      <c r="D20" s="6"/>
      <c r="E20" s="5" t="s">
        <v>66</v>
      </c>
      <c r="F20" s="4" t="s">
        <v>67</v>
      </c>
      <c r="G20" s="18" t="n">
        <v>46286</v>
      </c>
      <c r="H20" s="5"/>
    </row>
    <row r="21" customFormat="false" ht="22.35" hidden="false" customHeight="false" outlineLevel="0" collapsed="false">
      <c r="A21" s="4" t="s">
        <v>92</v>
      </c>
      <c r="B21" s="5" t="s">
        <v>93</v>
      </c>
      <c r="C21" s="4" t="s">
        <v>94</v>
      </c>
      <c r="D21" s="6"/>
      <c r="E21" s="5" t="s">
        <v>66</v>
      </c>
      <c r="F21" s="4" t="s">
        <v>67</v>
      </c>
      <c r="G21" s="18" t="n">
        <v>46286</v>
      </c>
      <c r="H21" s="5"/>
    </row>
    <row r="22" customFormat="false" ht="15" hidden="false" customHeight="false" outlineLevel="0" collapsed="false">
      <c r="A22" s="4" t="s">
        <v>95</v>
      </c>
      <c r="B22" s="5" t="s">
        <v>96</v>
      </c>
      <c r="C22" s="4" t="s">
        <v>91</v>
      </c>
      <c r="D22" s="6"/>
      <c r="E22" s="5" t="s">
        <v>66</v>
      </c>
      <c r="F22" s="4" t="s">
        <v>67</v>
      </c>
      <c r="G22" s="18" t="n">
        <v>46286</v>
      </c>
      <c r="H22" s="5"/>
    </row>
    <row r="23" customFormat="false" ht="15" hidden="false" customHeight="false" outlineLevel="0" collapsed="false">
      <c r="A23" s="4" t="s">
        <v>97</v>
      </c>
      <c r="B23" s="5" t="s">
        <v>98</v>
      </c>
      <c r="C23" s="4" t="s">
        <v>91</v>
      </c>
      <c r="D23" s="6"/>
      <c r="E23" s="5" t="s">
        <v>66</v>
      </c>
      <c r="F23" s="4" t="s">
        <v>67</v>
      </c>
      <c r="G23" s="18" t="n">
        <v>46287</v>
      </c>
      <c r="H23" s="5"/>
    </row>
    <row r="24" customFormat="false" ht="22.35" hidden="false" customHeight="false" outlineLevel="0" collapsed="false">
      <c r="A24" s="4" t="s">
        <v>99</v>
      </c>
      <c r="B24" s="5" t="s">
        <v>100</v>
      </c>
      <c r="C24" s="4" t="s">
        <v>101</v>
      </c>
      <c r="D24" s="6"/>
      <c r="E24" s="5" t="s">
        <v>66</v>
      </c>
      <c r="F24" s="4" t="s">
        <v>67</v>
      </c>
      <c r="G24" s="18" t="n">
        <v>46287</v>
      </c>
      <c r="H24" s="5"/>
    </row>
    <row r="25" customFormat="false" ht="15" hidden="false" customHeight="false" outlineLevel="0" collapsed="false">
      <c r="A25" s="4" t="s">
        <v>102</v>
      </c>
      <c r="B25" s="5" t="s">
        <v>103</v>
      </c>
      <c r="C25" s="4" t="s">
        <v>91</v>
      </c>
      <c r="D25" s="6"/>
      <c r="E25" s="5" t="s">
        <v>66</v>
      </c>
      <c r="F25" s="4" t="s">
        <v>67</v>
      </c>
      <c r="G25" s="18" t="n">
        <v>46287</v>
      </c>
      <c r="H25" s="5"/>
    </row>
    <row r="26" customFormat="false" ht="15" hidden="false" customHeight="false" outlineLevel="0" collapsed="false">
      <c r="A26" s="4" t="s">
        <v>104</v>
      </c>
      <c r="B26" s="5" t="s">
        <v>105</v>
      </c>
      <c r="C26" s="4" t="s">
        <v>91</v>
      </c>
      <c r="D26" s="6"/>
      <c r="E26" s="5" t="s">
        <v>66</v>
      </c>
      <c r="F26" s="4" t="s">
        <v>67</v>
      </c>
      <c r="G26" s="18" t="n">
        <v>46287</v>
      </c>
      <c r="H26" s="5"/>
    </row>
    <row r="27" customFormat="false" ht="22.35" hidden="false" customHeight="false" outlineLevel="0" collapsed="false">
      <c r="A27" s="4" t="s">
        <v>106</v>
      </c>
      <c r="B27" s="5" t="s">
        <v>107</v>
      </c>
      <c r="C27" s="4" t="s">
        <v>108</v>
      </c>
      <c r="D27" s="6"/>
      <c r="E27" s="5" t="s">
        <v>66</v>
      </c>
      <c r="F27" s="4" t="s">
        <v>67</v>
      </c>
      <c r="G27" s="18" t="n">
        <v>46288</v>
      </c>
      <c r="H27" s="5"/>
    </row>
    <row r="28" customFormat="false" ht="15" hidden="false" customHeight="false" outlineLevel="0" collapsed="false">
      <c r="A28" s="4" t="s">
        <v>109</v>
      </c>
      <c r="B28" s="5" t="s">
        <v>110</v>
      </c>
      <c r="C28" s="4" t="s">
        <v>75</v>
      </c>
      <c r="D28" s="6"/>
      <c r="E28" s="5" t="s">
        <v>66</v>
      </c>
      <c r="F28" s="4" t="s">
        <v>67</v>
      </c>
      <c r="G28" s="18" t="n">
        <v>46288</v>
      </c>
      <c r="H28" s="5"/>
    </row>
    <row r="29" customFormat="false" ht="15" hidden="false" customHeight="false" outlineLevel="0" collapsed="false">
      <c r="A29" s="4" t="s">
        <v>111</v>
      </c>
      <c r="B29" s="5" t="s">
        <v>112</v>
      </c>
      <c r="C29" s="4" t="s">
        <v>79</v>
      </c>
      <c r="D29" s="6"/>
      <c r="E29" s="5" t="s">
        <v>66</v>
      </c>
      <c r="F29" s="4" t="s">
        <v>67</v>
      </c>
      <c r="G29" s="18" t="n">
        <v>46288</v>
      </c>
      <c r="H29" s="5"/>
    </row>
    <row r="30" customFormat="false" ht="15" hidden="false" customHeight="false" outlineLevel="0" collapsed="false">
      <c r="A30" s="4" t="s">
        <v>113</v>
      </c>
      <c r="B30" s="5" t="s">
        <v>114</v>
      </c>
      <c r="C30" s="4" t="s">
        <v>79</v>
      </c>
      <c r="D30" s="6"/>
      <c r="E30" s="5" t="s">
        <v>66</v>
      </c>
      <c r="F30" s="4" t="s">
        <v>67</v>
      </c>
      <c r="G30" s="18" t="n">
        <v>46288</v>
      </c>
      <c r="H30" s="5"/>
    </row>
    <row r="31" customFormat="false" ht="15" hidden="false" customHeight="false" outlineLevel="0" collapsed="false">
      <c r="A31" s="4" t="s">
        <v>115</v>
      </c>
      <c r="B31" s="5" t="s">
        <v>116</v>
      </c>
      <c r="C31" s="4" t="s">
        <v>63</v>
      </c>
      <c r="D31" s="6"/>
      <c r="E31" s="5" t="s">
        <v>66</v>
      </c>
      <c r="F31" s="4" t="s">
        <v>67</v>
      </c>
      <c r="G31" s="18" t="n">
        <v>46289</v>
      </c>
      <c r="H31" s="5"/>
    </row>
    <row r="32" customFormat="false" ht="15" hidden="false" customHeight="false" outlineLevel="0" collapsed="false">
      <c r="A32" s="4" t="s">
        <v>117</v>
      </c>
      <c r="B32" s="5" t="s">
        <v>118</v>
      </c>
      <c r="C32" s="4" t="s">
        <v>63</v>
      </c>
      <c r="D32" s="6"/>
      <c r="E32" s="5" t="s">
        <v>66</v>
      </c>
      <c r="F32" s="4" t="s">
        <v>67</v>
      </c>
      <c r="G32" s="18" t="n">
        <v>46289</v>
      </c>
      <c r="H32" s="5"/>
    </row>
    <row r="33" customFormat="false" ht="15" hidden="false" customHeight="false" outlineLevel="0" collapsed="false">
      <c r="A33" s="4" t="s">
        <v>119</v>
      </c>
      <c r="B33" s="5" t="s">
        <v>120</v>
      </c>
      <c r="C33" s="4" t="s">
        <v>63</v>
      </c>
      <c r="D33" s="6"/>
      <c r="E33" s="5" t="s">
        <v>66</v>
      </c>
      <c r="F33" s="4" t="s">
        <v>67</v>
      </c>
      <c r="G33" s="18" t="n">
        <v>46289</v>
      </c>
      <c r="H33" s="5"/>
    </row>
    <row r="34" customFormat="false" ht="22.35" hidden="false" customHeight="false" outlineLevel="0" collapsed="false">
      <c r="A34" s="4" t="s">
        <v>121</v>
      </c>
      <c r="B34" s="5" t="s">
        <v>122</v>
      </c>
      <c r="C34" s="4" t="s">
        <v>123</v>
      </c>
      <c r="D34" s="6"/>
      <c r="E34" s="5" t="s">
        <v>66</v>
      </c>
      <c r="F34" s="4" t="s">
        <v>67</v>
      </c>
      <c r="G34" s="18" t="n">
        <v>46289</v>
      </c>
      <c r="H34" s="5"/>
    </row>
    <row r="35" customFormat="false" ht="15" hidden="false" customHeight="false" outlineLevel="0" collapsed="false">
      <c r="A35" s="4" t="s">
        <v>124</v>
      </c>
      <c r="B35" s="5" t="s">
        <v>125</v>
      </c>
      <c r="C35" s="4" t="s">
        <v>72</v>
      </c>
      <c r="D35" s="6"/>
      <c r="E35" s="5" t="s">
        <v>66</v>
      </c>
      <c r="F35" s="4" t="s">
        <v>67</v>
      </c>
      <c r="G35" s="18" t="n">
        <v>46289</v>
      </c>
      <c r="H35" s="5"/>
    </row>
    <row r="36" customFormat="false" ht="22.35" hidden="false" customHeight="false" outlineLevel="0" collapsed="false">
      <c r="A36" s="4" t="s">
        <v>126</v>
      </c>
      <c r="B36" s="5" t="s">
        <v>127</v>
      </c>
      <c r="C36" s="4" t="s">
        <v>128</v>
      </c>
      <c r="D36" s="6"/>
      <c r="E36" s="5" t="s">
        <v>66</v>
      </c>
      <c r="F36" s="4" t="s">
        <v>67</v>
      </c>
      <c r="G36" s="18" t="n">
        <v>46290</v>
      </c>
      <c r="H36" s="5"/>
    </row>
    <row r="37" customFormat="false" ht="22.35" hidden="false" customHeight="false" outlineLevel="0" collapsed="false">
      <c r="A37" s="4" t="s">
        <v>129</v>
      </c>
      <c r="B37" s="5" t="s">
        <v>130</v>
      </c>
      <c r="C37" s="4" t="s">
        <v>131</v>
      </c>
      <c r="D37" s="6"/>
      <c r="E37" s="5" t="s">
        <v>66</v>
      </c>
      <c r="F37" s="4" t="s">
        <v>67</v>
      </c>
      <c r="G37" s="18" t="n">
        <v>46290</v>
      </c>
      <c r="H37" s="5"/>
    </row>
    <row r="38" customFormat="false" ht="22.35" hidden="false" customHeight="false" outlineLevel="0" collapsed="false">
      <c r="A38" s="4" t="s">
        <v>132</v>
      </c>
      <c r="B38" s="5" t="s">
        <v>133</v>
      </c>
      <c r="C38" s="4" t="s">
        <v>134</v>
      </c>
      <c r="D38" s="6"/>
      <c r="E38" s="5" t="s">
        <v>66</v>
      </c>
      <c r="F38" s="4" t="s">
        <v>67</v>
      </c>
      <c r="G38" s="18" t="n">
        <v>46290</v>
      </c>
      <c r="H38" s="5"/>
    </row>
    <row r="39" customFormat="false" ht="22.35" hidden="false" customHeight="false" outlineLevel="0" collapsed="false">
      <c r="A39" s="4" t="s">
        <v>135</v>
      </c>
      <c r="B39" s="5" t="s">
        <v>136</v>
      </c>
      <c r="C39" s="4" t="s">
        <v>137</v>
      </c>
      <c r="D39" s="6"/>
      <c r="E39" s="5" t="s">
        <v>66</v>
      </c>
      <c r="F39" s="4" t="s">
        <v>67</v>
      </c>
      <c r="G39" s="18" t="n">
        <v>46290</v>
      </c>
      <c r="H39" s="5"/>
    </row>
    <row r="40" customFormat="false" ht="15" hidden="false" customHeight="false" outlineLevel="0" collapsed="false">
      <c r="A40" s="4" t="s">
        <v>138</v>
      </c>
      <c r="B40" s="5" t="s">
        <v>139</v>
      </c>
      <c r="C40" s="4" t="s">
        <v>91</v>
      </c>
      <c r="D40" s="6"/>
      <c r="E40" s="5" t="s">
        <v>66</v>
      </c>
      <c r="F40" s="4" t="s">
        <v>67</v>
      </c>
      <c r="G40" s="18" t="n">
        <v>46290</v>
      </c>
      <c r="H40" s="5"/>
    </row>
    <row r="41" customFormat="false" ht="15" hidden="false" customHeight="false" outlineLevel="0" collapsed="false">
      <c r="A41" s="4" t="s">
        <v>140</v>
      </c>
      <c r="B41" s="5" t="s">
        <v>141</v>
      </c>
      <c r="C41" s="4" t="s">
        <v>91</v>
      </c>
      <c r="D41" s="6"/>
      <c r="E41" s="5" t="s">
        <v>66</v>
      </c>
      <c r="F41" s="4" t="s">
        <v>67</v>
      </c>
      <c r="G41" s="18" t="n">
        <v>46293</v>
      </c>
      <c r="H41" s="5"/>
    </row>
    <row r="42" customFormat="false" ht="15" hidden="false" customHeight="false" outlineLevel="0" collapsed="false">
      <c r="A42" s="4" t="s">
        <v>142</v>
      </c>
      <c r="B42" s="5" t="s">
        <v>143</v>
      </c>
      <c r="C42" s="4" t="s">
        <v>91</v>
      </c>
      <c r="D42" s="6"/>
      <c r="E42" s="5" t="s">
        <v>66</v>
      </c>
      <c r="F42" s="4" t="s">
        <v>67</v>
      </c>
      <c r="G42" s="18" t="n">
        <v>46293</v>
      </c>
      <c r="H42" s="5"/>
    </row>
    <row r="43" customFormat="false" ht="15" hidden="false" customHeight="false" outlineLevel="0" collapsed="false">
      <c r="A43" s="4" t="s">
        <v>144</v>
      </c>
      <c r="B43" s="5" t="s">
        <v>145</v>
      </c>
      <c r="C43" s="4" t="s">
        <v>91</v>
      </c>
      <c r="D43" s="6"/>
      <c r="E43" s="5" t="s">
        <v>66</v>
      </c>
      <c r="F43" s="4" t="s">
        <v>67</v>
      </c>
      <c r="G43" s="18" t="n">
        <v>46293</v>
      </c>
      <c r="H43" s="5"/>
    </row>
    <row r="44" customFormat="false" ht="15" hidden="false" customHeight="false" outlineLevel="0" collapsed="false">
      <c r="A44" s="4" t="s">
        <v>146</v>
      </c>
      <c r="B44" s="5" t="s">
        <v>147</v>
      </c>
      <c r="C44" s="4" t="s">
        <v>91</v>
      </c>
      <c r="D44" s="6"/>
      <c r="E44" s="5" t="s">
        <v>66</v>
      </c>
      <c r="F44" s="4" t="s">
        <v>67</v>
      </c>
      <c r="G44" s="18" t="n">
        <v>46293</v>
      </c>
      <c r="H44" s="5"/>
    </row>
    <row r="45" customFormat="false" ht="22.35" hidden="false" customHeight="false" outlineLevel="0" collapsed="false">
      <c r="A45" s="4" t="s">
        <v>148</v>
      </c>
      <c r="B45" s="5" t="s">
        <v>149</v>
      </c>
      <c r="C45" s="4" t="s">
        <v>137</v>
      </c>
      <c r="D45" s="6"/>
      <c r="E45" s="5" t="s">
        <v>66</v>
      </c>
      <c r="F45" s="4" t="s">
        <v>67</v>
      </c>
      <c r="G45" s="18" t="n">
        <v>46293</v>
      </c>
      <c r="H45" s="5"/>
    </row>
    <row r="46" customFormat="false" ht="22.35" hidden="false" customHeight="false" outlineLevel="0" collapsed="false">
      <c r="A46" s="4" t="s">
        <v>150</v>
      </c>
      <c r="B46" s="5" t="s">
        <v>151</v>
      </c>
      <c r="C46" s="4" t="s">
        <v>152</v>
      </c>
      <c r="D46" s="6"/>
      <c r="E46" s="5" t="s">
        <v>66</v>
      </c>
      <c r="F46" s="4" t="s">
        <v>67</v>
      </c>
      <c r="G46" s="18" t="n">
        <v>46293</v>
      </c>
      <c r="H46" s="5"/>
    </row>
    <row r="47" customFormat="false" ht="15" hidden="false" customHeight="false" outlineLevel="0" collapsed="false">
      <c r="A47" s="4" t="s">
        <v>153</v>
      </c>
      <c r="B47" s="5" t="s">
        <v>154</v>
      </c>
      <c r="C47" s="4" t="s">
        <v>91</v>
      </c>
      <c r="D47" s="6"/>
      <c r="E47" s="5" t="s">
        <v>66</v>
      </c>
      <c r="F47" s="4" t="s">
        <v>67</v>
      </c>
      <c r="G47" s="18" t="n">
        <v>46294</v>
      </c>
      <c r="H47" s="5" t="s">
        <v>155</v>
      </c>
    </row>
    <row r="48" customFormat="false" ht="22.35" hidden="false" customHeight="false" outlineLevel="0" collapsed="false">
      <c r="A48" s="4" t="s">
        <v>156</v>
      </c>
      <c r="B48" s="5" t="s">
        <v>157</v>
      </c>
      <c r="C48" s="4" t="s">
        <v>158</v>
      </c>
      <c r="D48" s="6"/>
      <c r="E48" s="5" t="s">
        <v>66</v>
      </c>
      <c r="F48" s="4" t="s">
        <v>67</v>
      </c>
      <c r="G48" s="18" t="n">
        <v>46294</v>
      </c>
      <c r="H48" s="5" t="s">
        <v>159</v>
      </c>
    </row>
    <row r="49" customFormat="false" ht="22.35" hidden="false" customHeight="false" outlineLevel="0" collapsed="false">
      <c r="A49" s="4" t="s">
        <v>160</v>
      </c>
      <c r="B49" s="5" t="s">
        <v>161</v>
      </c>
      <c r="C49" s="4" t="s">
        <v>162</v>
      </c>
      <c r="D49" s="6"/>
      <c r="E49" s="5" t="s">
        <v>163</v>
      </c>
      <c r="F49" s="4" t="s">
        <v>67</v>
      </c>
      <c r="G49" s="18" t="n">
        <v>46295</v>
      </c>
      <c r="H49" s="5" t="s">
        <v>164</v>
      </c>
    </row>
    <row r="50" customFormat="false" ht="15" hidden="false" customHeight="false" outlineLevel="0" collapsed="false">
      <c r="A50" s="4" t="s">
        <v>165</v>
      </c>
      <c r="B50" s="5" t="s">
        <v>166</v>
      </c>
      <c r="C50" s="4" t="s">
        <v>162</v>
      </c>
      <c r="D50" s="6"/>
      <c r="E50" s="5" t="s">
        <v>163</v>
      </c>
      <c r="F50" s="4" t="s">
        <v>67</v>
      </c>
      <c r="G50" s="18" t="n">
        <v>46295</v>
      </c>
      <c r="H50" s="5" t="s">
        <v>167</v>
      </c>
    </row>
    <row r="51" customFormat="false" ht="15" hidden="false" customHeight="false" outlineLevel="0" collapsed="false">
      <c r="A51" s="4" t="s">
        <v>168</v>
      </c>
      <c r="B51" s="5" t="s">
        <v>169</v>
      </c>
      <c r="C51" s="4" t="s">
        <v>162</v>
      </c>
      <c r="D51" s="6"/>
      <c r="E51" s="5" t="s">
        <v>163</v>
      </c>
      <c r="F51" s="4" t="s">
        <v>67</v>
      </c>
      <c r="G51" s="18" t="n">
        <v>46295</v>
      </c>
      <c r="H51" s="5" t="s">
        <v>170</v>
      </c>
    </row>
    <row r="52" customFormat="false" ht="15" hidden="false" customHeight="false" outlineLevel="0" collapsed="false">
      <c r="A52" s="4" t="s">
        <v>171</v>
      </c>
      <c r="B52" s="5" t="s">
        <v>172</v>
      </c>
      <c r="C52" s="4" t="s">
        <v>75</v>
      </c>
      <c r="D52" s="6"/>
      <c r="E52" s="5" t="s">
        <v>66</v>
      </c>
      <c r="F52" s="4" t="s">
        <v>67</v>
      </c>
      <c r="G52" s="18" t="n">
        <v>46295</v>
      </c>
      <c r="H52" s="5" t="s">
        <v>173</v>
      </c>
    </row>
    <row r="53" customFormat="false" ht="22.35" hidden="false" customHeight="false" outlineLevel="0" collapsed="false">
      <c r="A53" s="4" t="s">
        <v>174</v>
      </c>
      <c r="B53" s="5" t="s">
        <v>175</v>
      </c>
      <c r="C53" s="4" t="s">
        <v>158</v>
      </c>
      <c r="D53" s="6"/>
      <c r="E53" s="5" t="s">
        <v>163</v>
      </c>
      <c r="F53" s="4" t="s">
        <v>67</v>
      </c>
      <c r="G53" s="18" t="n">
        <v>46295</v>
      </c>
      <c r="H53" s="5" t="s">
        <v>176</v>
      </c>
    </row>
    <row r="54" customFormat="false" ht="15" hidden="false" customHeight="false" outlineLevel="0" collapsed="false">
      <c r="A54" s="4" t="s">
        <v>177</v>
      </c>
      <c r="B54" s="5" t="s">
        <v>178</v>
      </c>
      <c r="C54" s="4" t="s">
        <v>91</v>
      </c>
      <c r="D54" s="6"/>
      <c r="E54" s="5" t="s">
        <v>66</v>
      </c>
      <c r="F54" s="4" t="s">
        <v>67</v>
      </c>
      <c r="G54" s="18" t="n">
        <v>46298</v>
      </c>
      <c r="H54" s="5" t="s">
        <v>179</v>
      </c>
    </row>
    <row r="56" customFormat="false" ht="15" hidden="false" customHeight="false" outlineLevel="0" collapsed="false">
      <c r="A56" s="2" t="s">
        <v>180</v>
      </c>
    </row>
  </sheetData>
  <mergeCells count="8">
    <mergeCell ref="B3:H3"/>
    <mergeCell ref="B4:H4"/>
    <mergeCell ref="B5:H5"/>
    <mergeCell ref="B6:H6"/>
    <mergeCell ref="B7:H7"/>
    <mergeCell ref="B8:H8"/>
    <mergeCell ref="B9:H9"/>
    <mergeCell ref="J11:N18"/>
  </mergeCells>
  <conditionalFormatting sqref="F12:F16">
    <cfRule type="expression" priority="2" aboveAverage="0" equalAverage="0" bottom="0" percent="0" rank="0" text="" dxfId="0">
      <formula>$F12="Hecho"</formula>
    </cfRule>
  </conditionalFormatting>
  <conditionalFormatting sqref="F20:F64">
    <cfRule type="expression" priority="3" aboveAverage="0" equalAverage="0" bottom="0" percent="0" rank="0" text="" dxfId="0">
      <formula>$F20="Hecho"</formula>
    </cfRule>
    <cfRule type="expression" priority="4" aboveAverage="0" equalAverage="0" bottom="0" percent="0" rank="0" text="" dxfId="1">
      <formula>$F20="En curso"</formula>
    </cfRule>
    <cfRule type="expression" priority="5" aboveAverage="0" equalAverage="0" bottom="0" percent="0" rank="0" text="" dxfId="2">
      <formula>$F20="En revisión"</formula>
    </cfRule>
  </conditionalFormatting>
  <dataValidations count="4">
    <dataValidation allowBlank="false" errorStyle="stop" operator="between" showDropDown="false" showErrorMessage="false" showInputMessage="false" sqref="F12:F16" type="list">
      <formula1>"Por hacer,En curso,Hecho"</formula1>
      <formula2>0</formula2>
    </dataValidation>
    <dataValidation allowBlank="false" errorStyle="stop" operator="between" showDropDown="false" showErrorMessage="false" showInputMessage="false" sqref="E12:E16" type="list">
      <formula1>"Álvaro Jaña,Matías Bustamante,Vicente Torres"</formula1>
      <formula2>0</formula2>
    </dataValidation>
    <dataValidation allowBlank="false" errorStyle="stop" operator="between" showDropDown="false" showErrorMessage="false" showInputMessage="false" sqref="F20:F64" type="list">
      <formula1>"Por hacer,En curso,En revisión,Hecho"</formula1>
      <formula2>0</formula2>
    </dataValidation>
    <dataValidation allowBlank="false" errorStyle="stop" operator="between" showDropDown="false" showErrorMessage="false" showInputMessage="false" sqref="E20:E64" type="list">
      <formula1>"Álvaro Jaña,Matías Bustamante,Vicente Torres"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181</v>
      </c>
    </row>
    <row r="3" customFormat="false" ht="15" hidden="false" customHeight="true" outlineLevel="0" collapsed="false">
      <c r="A3" s="12" t="s">
        <v>3</v>
      </c>
      <c r="B3" s="13" t="s">
        <v>22</v>
      </c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12" t="s">
        <v>4</v>
      </c>
      <c r="B4" s="13" t="s">
        <v>182</v>
      </c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A5" s="12" t="s">
        <v>50</v>
      </c>
      <c r="B5" s="13" t="s">
        <v>24</v>
      </c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2" t="s">
        <v>51</v>
      </c>
      <c r="B6" s="13" t="inlineStr">
        <is>
          <t xml:space="preserve">Cerrado</t>
        </is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2" t="s">
        <v>8</v>
      </c>
      <c r="B7" s="13" t="n">
        <f aca="false">SUM(D12:D18)</f>
        <v>31</v>
      </c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2" t="s">
        <v>9</v>
      </c>
      <c r="B8" s="13" t="n">
        <f aca="false">SUMIF(F12:F18,"Hecho",D12:D18)</f>
        <v>0</v>
      </c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2" t="s">
        <v>10</v>
      </c>
      <c r="B9" s="14" t="n">
        <f aca="false">IF(B7=0,0,B8/B7)</f>
        <v>0</v>
      </c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5" t="s">
        <v>53</v>
      </c>
      <c r="J10" s="15" t="s">
        <v>184</v>
      </c>
    </row>
    <row r="11" customFormat="false" ht="23.85" hidden="false" customHeight="fals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</v>
      </c>
      <c r="G11" s="3" t="s">
        <v>60</v>
      </c>
      <c r="H11" s="3" t="s">
        <v>61</v>
      </c>
      <c r="J11" s="3" t="s">
        <v>185</v>
      </c>
      <c r="K11" s="3" t="s">
        <v>87</v>
      </c>
      <c r="L11" s="3" t="s">
        <v>186</v>
      </c>
      <c r="M11" s="3" t="s">
        <v>187</v>
      </c>
      <c r="N11" s="3" t="s">
        <v>188</v>
      </c>
    </row>
    <row r="12" customFormat="false" ht="43.25" hidden="false" customHeight="false" outlineLevel="0" collapsed="false">
      <c r="A12" s="4" t="s">
        <v>189</v>
      </c>
      <c r="B12" s="5" t="s">
        <v>190</v>
      </c>
      <c r="C12" s="4" t="s">
        <v>65</v>
      </c>
      <c r="D12" s="4" t="n">
        <v>8</v>
      </c>
      <c r="E12" s="17" t="inlineStr">
        <is>
          <t xml:space="preserve">Vicente Torres y Álvaro Jaña</t>
        </is>
      </c>
      <c r="F12" s="6" t="inlineStr">
        <is>
          <t xml:space="preserve">Hecho</t>
        </is>
      </c>
      <c r="G12" s="19" t="n">
        <v>46301</v>
      </c>
      <c r="H12" s="5" t="s">
        <v>191</v>
      </c>
      <c r="J12" s="4" t="n">
        <v>1</v>
      </c>
      <c r="K12" s="20" t="n">
        <v>46300</v>
      </c>
      <c r="L12" s="21" t="n">
        <f aca="false">$B$7*(9-J12)/8</f>
        <v>31</v>
      </c>
      <c r="M12" s="4" t="n">
        <v>31</v>
      </c>
      <c r="N12" s="4" t="n">
        <f aca="false">$B$7-SUMIFS($D$12:$D$18,$F$12:$F$18,"Hecho",$G$12:$G$18,"&lt;="&amp;K12)</f>
        <v>31</v>
      </c>
    </row>
    <row r="13" customFormat="false" ht="22.35" hidden="false" customHeight="false" outlineLevel="0" collapsed="false">
      <c r="A13" s="4" t="s">
        <v>192</v>
      </c>
      <c r="B13" s="5" t="s">
        <v>193</v>
      </c>
      <c r="C13" s="4" t="s">
        <v>65</v>
      </c>
      <c r="D13" s="4" t="n">
        <v>5</v>
      </c>
      <c r="E13" s="17" t="inlineStr">
        <is>
          <t xml:space="preserve">Álvaro Jaña</t>
        </is>
      </c>
      <c r="F13" s="6" t="inlineStr">
        <is>
          <t xml:space="preserve">Hecho</t>
        </is>
      </c>
      <c r="G13" s="19" t="n">
        <v>46302</v>
      </c>
      <c r="H13" s="5" t="s">
        <v>194</v>
      </c>
      <c r="J13" s="4" t="n">
        <v>2</v>
      </c>
      <c r="K13" s="20" t="n">
        <v>46301</v>
      </c>
      <c r="L13" s="21" t="n">
        <f aca="false">$B$7*(9-J13)/8</f>
        <v>27.125</v>
      </c>
      <c r="M13" s="6" t="n">
        <v>23</v>
      </c>
      <c r="N13" s="4" t="n">
        <f aca="false">$B$7-SUMIFS($D$12:$D$18,$F$12:$F$18,"Hecho",$G$12:$G$18,"&lt;="&amp;K13)</f>
        <v>31</v>
      </c>
    </row>
    <row r="14" customFormat="false" ht="22.35" hidden="false" customHeight="false" outlineLevel="0" collapsed="false">
      <c r="A14" s="4" t="s">
        <v>195</v>
      </c>
      <c r="B14" s="5" t="s">
        <v>196</v>
      </c>
      <c r="C14" s="4" t="s">
        <v>65</v>
      </c>
      <c r="D14" s="4" t="n">
        <v>3</v>
      </c>
      <c r="E14" s="17" t="inlineStr">
        <is>
          <t xml:space="preserve">Álvaro Jaña</t>
        </is>
      </c>
      <c r="F14" s="6" t="inlineStr">
        <is>
          <t xml:space="preserve">Hecho</t>
        </is>
      </c>
      <c r="G14" s="19" t="n">
        <v>46302</v>
      </c>
      <c r="H14" s="5" t="s">
        <v>197</v>
      </c>
      <c r="J14" s="4" t="n">
        <v>3</v>
      </c>
      <c r="K14" s="20" t="n">
        <v>46302</v>
      </c>
      <c r="L14" s="21" t="n">
        <f aca="false">$B$7*(9-J14)/8</f>
        <v>23.25</v>
      </c>
      <c r="M14" s="6" t="n">
        <v>0</v>
      </c>
      <c r="N14" s="4" t="n">
        <f aca="false">$B$7-SUMIFS($D$12:$D$18,$F$12:$F$18,"Hecho",$G$12:$G$18,"&lt;="&amp;K14)</f>
        <v>31</v>
      </c>
    </row>
    <row r="15" customFormat="false" ht="32.8" hidden="false" customHeight="false" outlineLevel="0" collapsed="false">
      <c r="A15" s="4" t="s">
        <v>198</v>
      </c>
      <c r="B15" s="5" t="s">
        <v>199</v>
      </c>
      <c r="C15" s="4" t="s">
        <v>65</v>
      </c>
      <c r="D15" s="4" t="n">
        <v>5</v>
      </c>
      <c r="E15" s="17" t="inlineStr">
        <is>
          <t xml:space="preserve">Álvaro Jaña</t>
        </is>
      </c>
      <c r="F15" s="6" t="inlineStr">
        <is>
          <t xml:space="preserve">Hecho</t>
        </is>
      </c>
      <c r="G15" s="19" t="n">
        <v>46302</v>
      </c>
      <c r="H15" s="5" t="s">
        <v>200</v>
      </c>
      <c r="J15" s="4" t="n">
        <v>4</v>
      </c>
      <c r="K15" s="20" t="n">
        <v>46303</v>
      </c>
      <c r="L15" s="21" t="n">
        <f aca="false">$B$7*(9-J15)/8</f>
        <v>19.375</v>
      </c>
      <c r="M15" s="6" t="n">
        <v>0</v>
      </c>
      <c r="N15" s="4" t="n">
        <f aca="false">$B$7-SUMIFS($D$12:$D$18,$F$12:$F$18,"Hecho",$G$12:$G$18,"&lt;="&amp;K15)</f>
        <v>31</v>
      </c>
    </row>
    <row r="16" customFormat="false" ht="22.35" hidden="false" customHeight="false" outlineLevel="0" collapsed="false">
      <c r="A16" s="4" t="s">
        <v>201</v>
      </c>
      <c r="B16" s="5" t="s">
        <v>202</v>
      </c>
      <c r="C16" s="4" t="s">
        <v>65</v>
      </c>
      <c r="D16" s="4" t="n">
        <v>5</v>
      </c>
      <c r="E16" s="17" t="inlineStr">
        <is>
          <t xml:space="preserve">Álvaro Jaña</t>
        </is>
      </c>
      <c r="F16" s="6" t="inlineStr">
        <is>
          <t xml:space="preserve">Hecho</t>
        </is>
      </c>
      <c r="G16" s="19" t="n">
        <v>46302</v>
      </c>
      <c r="H16" s="5" t="s">
        <v>203</v>
      </c>
      <c r="J16" s="4" t="n">
        <v>5</v>
      </c>
      <c r="K16" s="20" t="n">
        <v>46304</v>
      </c>
      <c r="L16" s="21" t="n">
        <f aca="false">$B$7*(9-J16)/8</f>
        <v>15.5</v>
      </c>
      <c r="M16" s="6" t="n">
        <v>0</v>
      </c>
      <c r="N16" s="4" t="n">
        <f aca="false">$B$7-SUMIFS($D$12:$D$18,$F$12:$F$18,"Hecho",$G$12:$G$18,"&lt;="&amp;K16)</f>
        <v>31</v>
      </c>
    </row>
    <row r="17" customFormat="false" ht="22.35" hidden="false" customHeight="false" outlineLevel="0" collapsed="false">
      <c r="A17" s="4" t="s">
        <v>204</v>
      </c>
      <c r="B17" s="5" t="s">
        <v>205</v>
      </c>
      <c r="C17" s="4" t="s">
        <v>65</v>
      </c>
      <c r="D17" s="4" t="n">
        <v>3</v>
      </c>
      <c r="E17" s="17" t="inlineStr">
        <is>
          <t xml:space="preserve">Álvaro Jaña</t>
        </is>
      </c>
      <c r="F17" s="6" t="inlineStr">
        <is>
          <t xml:space="preserve">Hecho</t>
        </is>
      </c>
      <c r="G17" s="19" t="n">
        <v>46302</v>
      </c>
      <c r="H17" s="5" t="s">
        <v>206</v>
      </c>
      <c r="J17" s="4" t="n">
        <v>6</v>
      </c>
      <c r="K17" s="20" t="n">
        <v>46308</v>
      </c>
      <c r="L17" s="21" t="n">
        <f aca="false">$B$7*(9-J17)/8</f>
        <v>11.625</v>
      </c>
      <c r="M17" s="6" t="n">
        <v>0</v>
      </c>
      <c r="N17" s="4" t="n">
        <f aca="false">$B$7-SUMIFS($D$12:$D$18,$F$12:$F$18,"Hecho",$G$12:$G$18,"&lt;="&amp;K17)</f>
        <v>31</v>
      </c>
    </row>
    <row r="18" customFormat="false" ht="22.35" hidden="false" customHeight="false" outlineLevel="0" collapsed="false">
      <c r="A18" s="4" t="s">
        <v>207</v>
      </c>
      <c r="B18" s="5" t="s">
        <v>208</v>
      </c>
      <c r="C18" s="4" t="s">
        <v>77</v>
      </c>
      <c r="D18" s="4" t="n">
        <v>2</v>
      </c>
      <c r="E18" s="17" t="inlineStr">
        <is>
          <t xml:space="preserve">Álvaro Jaña</t>
        </is>
      </c>
      <c r="F18" s="6" t="inlineStr">
        <is>
          <t xml:space="preserve">Hecho</t>
        </is>
      </c>
      <c r="G18" s="19" t="n">
        <v>46302</v>
      </c>
      <c r="H18" s="5" t="s">
        <v>209</v>
      </c>
      <c r="J18" s="4" t="n">
        <v>7</v>
      </c>
      <c r="K18" s="20" t="n">
        <v>46309</v>
      </c>
      <c r="L18" s="21" t="n">
        <f aca="false">$B$7*(9-J18)/8</f>
        <v>7.75</v>
      </c>
      <c r="M18" s="6" t="n">
        <v>0</v>
      </c>
      <c r="N18" s="4" t="n">
        <f aca="false">$B$7-SUMIFS($D$12:$D$18,$F$12:$F$18,"Hecho",$G$12:$G$18,"&lt;="&amp;K18)</f>
        <v>31</v>
      </c>
    </row>
    <row r="19" customFormat="false" ht="15" hidden="false" customHeight="false" outlineLevel="0" collapsed="false">
      <c r="J19" s="4" t="n">
        <v>8</v>
      </c>
      <c r="K19" s="20" t="n">
        <v>46310</v>
      </c>
      <c r="L19" s="21" t="n">
        <f aca="false">$B$7*(9-J19)/8</f>
        <v>3.875</v>
      </c>
      <c r="M19" s="6" t="n">
        <v>0</v>
      </c>
      <c r="N19" s="4" t="n">
        <f aca="false">$B$7-SUMIFS($D$12:$D$18,$F$12:$F$18,"Hecho",$G$12:$G$18,"&lt;="&amp;K19)</f>
        <v>31</v>
      </c>
    </row>
    <row r="20" customFormat="false" ht="15" hidden="false" customHeight="false" outlineLevel="0" collapsed="false">
      <c r="A20" s="15" t="s">
        <v>82</v>
      </c>
      <c r="J20" s="4" t="n">
        <v>9</v>
      </c>
      <c r="K20" s="20" t="n">
        <v>46311</v>
      </c>
      <c r="L20" s="21" t="n">
        <f aca="false">$B$7*(9-J20)/8</f>
        <v>0</v>
      </c>
      <c r="M20" s="6" t="n">
        <v>0</v>
      </c>
      <c r="N20" s="4" t="n">
        <f aca="false">$B$7-SUMIFS($D$12:$D$18,$F$12:$F$18,"Hecho",$G$12:$G$18,"&lt;="&amp;K20)</f>
        <v>31</v>
      </c>
    </row>
    <row r="21" customFormat="false" ht="23.85" hidden="false" customHeight="false" outlineLevel="0" collapsed="false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59</v>
      </c>
      <c r="F21" s="3" t="s">
        <v>6</v>
      </c>
      <c r="G21" s="3" t="s">
        <v>87</v>
      </c>
      <c r="H21" s="3" t="s">
        <v>88</v>
      </c>
      <c r="J21" s="2" t="s">
        <v>210</v>
      </c>
    </row>
    <row r="22" customFormat="false" ht="15" hidden="false" customHeight="false" outlineLevel="0" collapsed="false">
      <c r="A22" s="4" t="s">
        <v>211</v>
      </c>
      <c r="B22" s="5" t="s">
        <v>212</v>
      </c>
      <c r="C22" s="4" t="s">
        <v>189</v>
      </c>
      <c r="D22" s="6"/>
      <c r="E22" s="17" t="inlineStr">
        <is>
          <t xml:space="preserve">Vicente Torres</t>
        </is>
      </c>
      <c r="F22" s="6" t="inlineStr">
        <is>
          <t xml:space="preserve">Hecho</t>
        </is>
      </c>
      <c r="G22" s="19" t="n">
        <v>46300</v>
      </c>
      <c r="H22" s="17" t="inlineStr">
        <is>
          <t xml:space="preserve">PR #38</t>
        </is>
      </c>
    </row>
    <row r="23" customFormat="false" ht="15" hidden="false" customHeight="false" outlineLevel="0" collapsed="false">
      <c r="A23" s="4" t="s">
        <v>215</v>
      </c>
      <c r="B23" s="5" t="s">
        <v>216</v>
      </c>
      <c r="C23" s="4" t="s">
        <v>189</v>
      </c>
      <c r="D23" s="6"/>
      <c r="E23" s="17" t="inlineStr">
        <is>
          <t xml:space="preserve">Vicente Torres</t>
        </is>
      </c>
      <c r="F23" s="6" t="inlineStr">
        <is>
          <t xml:space="preserve">Hecho</t>
        </is>
      </c>
      <c r="G23" s="19" t="n">
        <v>46300</v>
      </c>
      <c r="H23" s="17" t="inlineStr">
        <is>
          <t xml:space="preserve">PR #38</t>
        </is>
      </c>
    </row>
    <row r="24" customFormat="false" ht="22.35" hidden="false" customHeight="false" outlineLevel="0" collapsed="false">
      <c r="A24" s="4" t="s">
        <v>217</v>
      </c>
      <c r="B24" s="5" t="s">
        <v>218</v>
      </c>
      <c r="C24" s="4" t="s">
        <v>189</v>
      </c>
      <c r="D24" s="6"/>
      <c r="E24" s="17" t="inlineStr">
        <is>
          <t xml:space="preserve">Álvaro Jaña</t>
        </is>
      </c>
      <c r="F24" s="6" t="inlineStr">
        <is>
          <t xml:space="preserve">Hecho</t>
        </is>
      </c>
      <c r="G24" s="19" t="n">
        <v>46300</v>
      </c>
      <c r="H24" s="17" t="inlineStr">
        <is>
          <t xml:space="preserve">PR #39</t>
        </is>
      </c>
    </row>
    <row r="25" customFormat="false" ht="22.35" hidden="false" customHeight="false" outlineLevel="0" collapsed="false">
      <c r="A25" s="4" t="s">
        <v>219</v>
      </c>
      <c r="B25" s="5" t="s">
        <v>220</v>
      </c>
      <c r="C25" s="4" t="s">
        <v>189</v>
      </c>
      <c r="D25" s="6"/>
      <c r="E25" s="17" t="inlineStr">
        <is>
          <t xml:space="preserve">Álvaro Jaña</t>
        </is>
      </c>
      <c r="F25" s="6" t="inlineStr">
        <is>
          <t xml:space="preserve">Hecho</t>
        </is>
      </c>
      <c r="G25" s="19" t="n">
        <v>46300</v>
      </c>
      <c r="H25" s="17" t="inlineStr">
        <is>
          <t xml:space="preserve">PR #39</t>
        </is>
      </c>
    </row>
    <row r="26" customFormat="false" ht="22.35" hidden="false" customHeight="false" outlineLevel="0" collapsed="false">
      <c r="A26" s="4" t="s">
        <v>221</v>
      </c>
      <c r="B26" s="5" t="s">
        <v>222</v>
      </c>
      <c r="C26" s="4" t="s">
        <v>189</v>
      </c>
      <c r="D26" s="6"/>
      <c r="E26" s="17" t="s">
        <v>66</v>
      </c>
      <c r="F26" s="6" t="s">
        <v>214</v>
      </c>
      <c r="G26" s="19"/>
      <c r="H26" s="17"/>
    </row>
    <row r="27" customFormat="false" ht="22.35" hidden="false" customHeight="false" outlineLevel="0" collapsed="false">
      <c r="A27" s="4" t="s">
        <v>223</v>
      </c>
      <c r="B27" s="5" t="s">
        <v>224</v>
      </c>
      <c r="C27" s="4" t="s">
        <v>192</v>
      </c>
      <c r="D27" s="6"/>
      <c r="E27" s="17" t="inlineStr">
        <is>
          <t xml:space="preserve">Álvaro Jaña</t>
        </is>
      </c>
      <c r="F27" s="6" t="inlineStr">
        <is>
          <t xml:space="preserve">Hecho</t>
        </is>
      </c>
      <c r="G27" s="19" t="n">
        <v>46302</v>
      </c>
      <c r="H27" s="17" t="inlineStr">
        <is>
          <t xml:space="preserve">PR #43</t>
        </is>
      </c>
    </row>
    <row r="28" customFormat="false" ht="22.35" hidden="false" customHeight="false" outlineLevel="0" collapsed="false">
      <c r="A28" s="4" t="s">
        <v>225</v>
      </c>
      <c r="B28" s="5" t="s">
        <v>226</v>
      </c>
      <c r="C28" s="4" t="s">
        <v>192</v>
      </c>
      <c r="D28" s="6"/>
      <c r="E28" s="17" t="inlineStr">
        <is>
          <t xml:space="preserve">Álvaro Jaña</t>
        </is>
      </c>
      <c r="F28" s="6" t="inlineStr">
        <is>
          <t xml:space="preserve">Hecho</t>
        </is>
      </c>
      <c r="G28" s="19" t="n">
        <v>46302</v>
      </c>
      <c r="H28" s="17" t="inlineStr">
        <is>
          <t xml:space="preserve">PR #43</t>
        </is>
      </c>
    </row>
    <row r="29" customFormat="false" ht="22.35" hidden="false" customHeight="false" outlineLevel="0" collapsed="false">
      <c r="A29" s="4" t="s">
        <v>227</v>
      </c>
      <c r="B29" s="5" t="s">
        <v>228</v>
      </c>
      <c r="C29" s="4" t="s">
        <v>192</v>
      </c>
      <c r="D29" s="6"/>
      <c r="E29" s="17" t="inlineStr">
        <is>
          <t xml:space="preserve">Álvaro Jaña</t>
        </is>
      </c>
      <c r="F29" s="6" t="inlineStr">
        <is>
          <t xml:space="preserve">Hecho</t>
        </is>
      </c>
      <c r="G29" s="19" t="n">
        <v>46302</v>
      </c>
      <c r="H29" s="17" t="inlineStr">
        <is>
          <t xml:space="preserve">PR #43</t>
        </is>
      </c>
    </row>
    <row r="30" customFormat="false" ht="22.35" hidden="false" customHeight="false" outlineLevel="0" collapsed="false">
      <c r="A30" s="4" t="s">
        <v>229</v>
      </c>
      <c r="B30" s="5" t="s">
        <v>230</v>
      </c>
      <c r="C30" s="4" t="s">
        <v>195</v>
      </c>
      <c r="D30" s="6"/>
      <c r="E30" s="17" t="inlineStr">
        <is>
          <t xml:space="preserve">Álvaro Jaña</t>
        </is>
      </c>
      <c r="F30" s="6" t="inlineStr">
        <is>
          <t xml:space="preserve">Hecho</t>
        </is>
      </c>
      <c r="G30" s="19" t="n">
        <v>46302</v>
      </c>
      <c r="H30" s="17" t="inlineStr">
        <is>
          <t xml:space="preserve">PR #44</t>
        </is>
      </c>
    </row>
    <row r="31" customFormat="false" ht="15" hidden="false" customHeight="false" outlineLevel="0" collapsed="false">
      <c r="A31" s="4" t="s">
        <v>231</v>
      </c>
      <c r="B31" s="5" t="s">
        <v>232</v>
      </c>
      <c r="C31" s="4" t="s">
        <v>195</v>
      </c>
      <c r="D31" s="6"/>
      <c r="E31" s="17" t="inlineStr">
        <is>
          <t xml:space="preserve">Álvaro Jaña</t>
        </is>
      </c>
      <c r="F31" s="6" t="inlineStr">
        <is>
          <t xml:space="preserve">Hecho</t>
        </is>
      </c>
      <c r="G31" s="19" t="n">
        <v>46302</v>
      </c>
      <c r="H31" s="17" t="inlineStr">
        <is>
          <t xml:space="preserve">PR #44</t>
        </is>
      </c>
    </row>
    <row r="32" customFormat="false" ht="15" hidden="false" customHeight="false" outlineLevel="0" collapsed="false">
      <c r="A32" s="4" t="s">
        <v>233</v>
      </c>
      <c r="B32" s="5" t="s">
        <v>234</v>
      </c>
      <c r="C32" s="4" t="s">
        <v>195</v>
      </c>
      <c r="D32" s="6"/>
      <c r="E32" s="17" t="s">
        <v>213</v>
      </c>
      <c r="F32" s="6" t="inlineStr">
        <is>
          <t xml:space="preserve">Por hacer</t>
        </is>
      </c>
      <c r="G32" s="19"/>
      <c r="H32" s="17" t="inlineStr">
        <is>
          <t xml:space="preserve">Las reglas no verifican que el código del área no se repita; pasa al S3</t>
        </is>
      </c>
    </row>
    <row r="33" customFormat="false" ht="15" hidden="false" customHeight="false" outlineLevel="0" collapsed="false">
      <c r="A33" s="4" t="s">
        <v>235</v>
      </c>
      <c r="B33" s="5" t="s">
        <v>236</v>
      </c>
      <c r="C33" s="4" t="s">
        <v>198</v>
      </c>
      <c r="D33" s="6"/>
      <c r="E33" s="17" t="inlineStr">
        <is>
          <t xml:space="preserve">Álvaro Jaña</t>
        </is>
      </c>
      <c r="F33" s="6" t="inlineStr">
        <is>
          <t xml:space="preserve">Hecho</t>
        </is>
      </c>
      <c r="G33" s="19" t="n">
        <v>46302</v>
      </c>
      <c r="H33" s="17" t="inlineStr">
        <is>
          <t xml:space="preserve">PR #44</t>
        </is>
      </c>
    </row>
    <row r="34" customFormat="false" ht="15" hidden="false" customHeight="false" outlineLevel="0" collapsed="false">
      <c r="A34" s="4" t="s">
        <v>237</v>
      </c>
      <c r="B34" s="5" t="s">
        <v>238</v>
      </c>
      <c r="C34" s="4" t="s">
        <v>198</v>
      </c>
      <c r="D34" s="6"/>
      <c r="E34" s="17" t="inlineStr">
        <is>
          <t xml:space="preserve">Álvaro Jaña</t>
        </is>
      </c>
      <c r="F34" s="6" t="inlineStr">
        <is>
          <t xml:space="preserve">Hecho</t>
        </is>
      </c>
      <c r="G34" s="19" t="n">
        <v>46302</v>
      </c>
      <c r="H34" s="17" t="inlineStr">
        <is>
          <t xml:space="preserve">PR #44</t>
        </is>
      </c>
    </row>
    <row r="35" customFormat="false" ht="15" hidden="false" customHeight="false" outlineLevel="0" collapsed="false">
      <c r="A35" s="4" t="s">
        <v>239</v>
      </c>
      <c r="B35" s="5" t="s">
        <v>240</v>
      </c>
      <c r="C35" s="4" t="s">
        <v>198</v>
      </c>
      <c r="D35" s="6"/>
      <c r="E35" s="17" t="inlineStr">
        <is>
          <t xml:space="preserve">Álvaro Jaña</t>
        </is>
      </c>
      <c r="F35" s="6" t="inlineStr">
        <is>
          <t xml:space="preserve">Hecho</t>
        </is>
      </c>
      <c r="G35" s="19" t="n">
        <v>46302</v>
      </c>
      <c r="H35" s="17" t="inlineStr">
        <is>
          <t xml:space="preserve">PR #44</t>
        </is>
      </c>
    </row>
    <row r="36" customFormat="false" ht="15" hidden="false" customHeight="false" outlineLevel="0" collapsed="false">
      <c r="A36" s="4" t="s">
        <v>241</v>
      </c>
      <c r="B36" s="5" t="s">
        <v>242</v>
      </c>
      <c r="C36" s="4" t="s">
        <v>201</v>
      </c>
      <c r="D36" s="6"/>
      <c r="E36" s="17" t="inlineStr">
        <is>
          <t xml:space="preserve">Álvaro Jaña</t>
        </is>
      </c>
      <c r="F36" s="6" t="inlineStr">
        <is>
          <t xml:space="preserve">Hecho</t>
        </is>
      </c>
      <c r="G36" s="19" t="n">
        <v>46302</v>
      </c>
      <c r="H36" s="17" t="inlineStr">
        <is>
          <t xml:space="preserve">PR #44</t>
        </is>
      </c>
    </row>
    <row r="37" customFormat="false" ht="15" hidden="false" customHeight="false" outlineLevel="0" collapsed="false">
      <c r="A37" s="4" t="s">
        <v>243</v>
      </c>
      <c r="B37" s="5" t="s">
        <v>244</v>
      </c>
      <c r="C37" s="4" t="s">
        <v>201</v>
      </c>
      <c r="D37" s="6"/>
      <c r="E37" s="17" t="inlineStr">
        <is>
          <t xml:space="preserve">Álvaro Jaña</t>
        </is>
      </c>
      <c r="F37" s="6" t="inlineStr">
        <is>
          <t xml:space="preserve">Hecho</t>
        </is>
      </c>
      <c r="G37" s="19" t="n">
        <v>46302</v>
      </c>
      <c r="H37" s="17" t="inlineStr">
        <is>
          <t xml:space="preserve">PR #44</t>
        </is>
      </c>
    </row>
    <row r="38" customFormat="false" ht="22.35" hidden="false" customHeight="false" outlineLevel="0" collapsed="false">
      <c r="A38" s="4" t="s">
        <v>245</v>
      </c>
      <c r="B38" s="5" t="s">
        <v>246</v>
      </c>
      <c r="C38" s="4" t="s">
        <v>201</v>
      </c>
      <c r="D38" s="6"/>
      <c r="E38" s="17" t="inlineStr">
        <is>
          <t xml:space="preserve">Álvaro Jaña</t>
        </is>
      </c>
      <c r="F38" s="6" t="inlineStr">
        <is>
          <t xml:space="preserve">Hecho</t>
        </is>
      </c>
      <c r="G38" s="19" t="n">
        <v>46302</v>
      </c>
      <c r="H38" s="17" t="inlineStr">
        <is>
          <t xml:space="preserve">Regla en PR #39 y pantalla en PR #44</t>
        </is>
      </c>
    </row>
    <row r="39" customFormat="false" ht="15" hidden="false" customHeight="false" outlineLevel="0" collapsed="false">
      <c r="A39" s="4" t="s">
        <v>247</v>
      </c>
      <c r="B39" s="5" t="s">
        <v>248</v>
      </c>
      <c r="C39" s="4" t="s">
        <v>204</v>
      </c>
      <c r="D39" s="6"/>
      <c r="E39" s="17" t="inlineStr">
        <is>
          <t xml:space="preserve">Álvaro Jaña</t>
        </is>
      </c>
      <c r="F39" s="6" t="inlineStr">
        <is>
          <t xml:space="preserve">Hecho</t>
        </is>
      </c>
      <c r="G39" s="19" t="n">
        <v>46302</v>
      </c>
      <c r="H39" s="17" t="inlineStr">
        <is>
          <t xml:space="preserve">PR #44</t>
        </is>
      </c>
    </row>
    <row r="40" customFormat="false" ht="15" hidden="false" customHeight="false" outlineLevel="0" collapsed="false">
      <c r="A40" s="4" t="s">
        <v>249</v>
      </c>
      <c r="B40" s="5" t="s">
        <v>250</v>
      </c>
      <c r="C40" s="4" t="s">
        <v>204</v>
      </c>
      <c r="D40" s="6"/>
      <c r="E40" s="17" t="inlineStr">
        <is>
          <t xml:space="preserve">Álvaro Jaña</t>
        </is>
      </c>
      <c r="F40" s="6" t="inlineStr">
        <is>
          <t xml:space="preserve">Hecho</t>
        </is>
      </c>
      <c r="G40" s="19" t="n">
        <v>46302</v>
      </c>
      <c r="H40" s="17" t="inlineStr">
        <is>
          <t xml:space="preserve">El permiso queda en el rol del perfil (PR #39); selector en PR #44</t>
        </is>
      </c>
    </row>
    <row r="41" customFormat="false" ht="22.35" hidden="false" customHeight="false" outlineLevel="0" collapsed="false">
      <c r="A41" s="4" t="s">
        <v>251</v>
      </c>
      <c r="B41" s="5" t="s">
        <v>252</v>
      </c>
      <c r="C41" s="4" t="s">
        <v>207</v>
      </c>
      <c r="D41" s="6"/>
      <c r="E41" s="17" t="inlineStr">
        <is>
          <t xml:space="preserve">Álvaro Jaña</t>
        </is>
      </c>
      <c r="F41" s="6" t="inlineStr">
        <is>
          <t xml:space="preserve">Hecho</t>
        </is>
      </c>
      <c r="G41" s="19" t="n">
        <v>46302</v>
      </c>
      <c r="H41" s="17" t="inlineStr">
        <is>
          <t xml:space="preserve">PR #44</t>
        </is>
      </c>
    </row>
    <row r="42" customFormat="false" ht="15" hidden="false" customHeight="false" outlineLevel="0" collapsed="false">
      <c r="A42" s="4" t="s">
        <v>253</v>
      </c>
      <c r="B42" s="5" t="s">
        <v>254</v>
      </c>
      <c r="C42" s="4" t="s">
        <v>91</v>
      </c>
      <c r="D42" s="6"/>
      <c r="E42" s="17" t="inlineStr">
        <is>
          <t xml:space="preserve">Matías Bustamante</t>
        </is>
      </c>
      <c r="F42" s="6" t="inlineStr">
        <is>
          <t xml:space="preserve">Hecho</t>
        </is>
      </c>
      <c r="G42" s="19" t="n">
        <v>46313</v>
      </c>
      <c r="H42" s="17" t="inlineStr">
        <is>
          <t xml:space="preserve">RecyTrack_Casos_de_Prueba_S2.docx; redactados después del cierre del sprint</t>
        </is>
      </c>
    </row>
    <row r="43" customFormat="false" ht="15" hidden="false" customHeight="false" outlineLevel="0" collapsed="false">
      <c r="A43" s="4" t="s">
        <v>255</v>
      </c>
      <c r="B43" s="5" t="s">
        <v>256</v>
      </c>
      <c r="C43" s="4" t="s">
        <v>91</v>
      </c>
      <c r="D43" s="6"/>
      <c r="E43" s="17" t="inlineStr">
        <is>
          <t xml:space="preserve">Matías Bustamante</t>
        </is>
      </c>
      <c r="F43" s="6" t="inlineStr">
        <is>
          <t xml:space="preserve">Por hacer</t>
        </is>
      </c>
      <c r="G43" s="19"/>
      <c r="H43" s="17" t="inlineStr">
        <is>
          <t xml:space="preserve">En el S2 no se aprobaron pull requests (ver retrospectiva)</t>
        </is>
      </c>
    </row>
    <row r="44" customFormat="false" ht="22.35" hidden="false" customHeight="false" outlineLevel="0" collapsed="false">
      <c r="A44" s="4" t="s">
        <v>257</v>
      </c>
      <c r="B44" s="5" t="s">
        <v>258</v>
      </c>
      <c r="C44" s="4" t="s">
        <v>91</v>
      </c>
      <c r="D44" s="6"/>
      <c r="E44" s="17" t="inlineStr">
        <is>
          <t xml:space="preserve">Matías Bustamante</t>
        </is>
      </c>
      <c r="F44" s="6" t="inlineStr">
        <is>
          <t xml:space="preserve">Hecho</t>
        </is>
      </c>
      <c r="G44" s="19" t="n">
        <v>46312</v>
      </c>
      <c r="H44" s="17" t="inlineStr">
        <is>
          <t xml:space="preserve">Modelo de datos en PR #41 y Modelo 4+1 en PR #52</t>
        </is>
      </c>
    </row>
    <row r="45" customFormat="false" ht="15" hidden="false" customHeight="false" outlineLevel="0" collapsed="false">
      <c r="A45" s="4" t="s">
        <v>259</v>
      </c>
      <c r="B45" s="5" t="s">
        <v>260</v>
      </c>
      <c r="C45" s="4" t="s">
        <v>91</v>
      </c>
      <c r="D45" s="6"/>
      <c r="E45" s="17" t="inlineStr">
        <is>
          <t xml:space="preserve">Matías Bustamante</t>
        </is>
      </c>
      <c r="F45" s="6" t="inlineStr">
        <is>
          <t xml:space="preserve">En curso</t>
        </is>
      </c>
      <c r="G45" s="19"/>
      <c r="H45" s="17" t="inlineStr">
        <is>
          <t xml:space="preserve">Demostración a la viña en curso</t>
        </is>
      </c>
    </row>
    <row r="46" customFormat="false" ht="15" hidden="false" customHeight="false" outlineLevel="0" collapsed="false">
      <c r="A46" s="4" t="s">
        <v>261</v>
      </c>
      <c r="B46" s="5" t="s">
        <v>262</v>
      </c>
      <c r="C46" s="4" t="s">
        <v>91</v>
      </c>
      <c r="D46" s="6"/>
      <c r="E46" s="17" t="inlineStr">
        <is>
          <t xml:space="preserve">Matías Bustamante</t>
        </is>
      </c>
      <c r="F46" s="6" t="inlineStr">
        <is>
          <t xml:space="preserve">Hecho</t>
        </is>
      </c>
      <c r="G46" s="19" t="n">
        <v>46311</v>
      </c>
      <c r="H46" s="17" t="inlineStr">
        <is>
          <t xml:space="preserve">Retrospectiva del 16 de octubre (RecyTrack_Retrospectiva_S2.docx)</t>
        </is>
      </c>
    </row>
    <row r="48" customFormat="false" ht="15" hidden="false" customHeight="false" outlineLevel="0" collapsed="false">
      <c r="A48" s="2" t="s">
        <v>263</v>
      </c>
    </row>
  </sheetData>
  <mergeCells count="7">
    <mergeCell ref="B3:H3"/>
    <mergeCell ref="B4:H4"/>
    <mergeCell ref="B5:H5"/>
    <mergeCell ref="B6:H6"/>
    <mergeCell ref="B7:H7"/>
    <mergeCell ref="B8:H8"/>
    <mergeCell ref="B9:H9"/>
  </mergeCells>
  <conditionalFormatting sqref="F12:F18">
    <cfRule type="expression" priority="2" aboveAverage="0" equalAverage="0" bottom="0" percent="0" rank="0" text="" dxfId="0">
      <formula>$F12="Hecho"</formula>
    </cfRule>
  </conditionalFormatting>
  <conditionalFormatting sqref="F22:F56">
    <cfRule type="expression" priority="3" aboveAverage="0" equalAverage="0" bottom="0" percent="0" rank="0" text="" dxfId="0">
      <formula>$F22="Hecho"</formula>
    </cfRule>
    <cfRule type="expression" priority="4" aboveAverage="0" equalAverage="0" bottom="0" percent="0" rank="0" text="" dxfId="1">
      <formula>$F22="En curso"</formula>
    </cfRule>
    <cfRule type="expression" priority="5" aboveAverage="0" equalAverage="0" bottom="0" percent="0" rank="0" text="" dxfId="2">
      <formula>$F22="En revisión"</formula>
    </cfRule>
  </conditionalFormatting>
  <dataValidations count="4">
    <dataValidation allowBlank="false" errorStyle="stop" operator="between" showDropDown="false" showErrorMessage="false" showInputMessage="false" sqref="F12:F18" type="list">
      <formula1>"Por hacer,En curso,Hecho"</formula1>
      <formula2>0</formula2>
    </dataValidation>
    <dataValidation allowBlank="false" errorStyle="stop" operator="between" showDropDown="false" showErrorMessage="false" showInputMessage="false" sqref="E12:E18" type="list">
      <formula1>"Álvaro Jaña,Matías Bustamante,Vicente Torres"</formula1>
      <formula2>0</formula2>
    </dataValidation>
    <dataValidation allowBlank="false" errorStyle="stop" operator="between" showDropDown="false" showErrorMessage="false" showInputMessage="false" sqref="F22:F56" type="list">
      <formula1>"Por hacer,En curso,En revisión,Hecho"</formula1>
      <formula2>0</formula2>
    </dataValidation>
    <dataValidation allowBlank="false" errorStyle="stop" operator="between" showDropDown="false" showErrorMessage="false" showInputMessage="false" sqref="E22:E56" type="list">
      <formula1>"Álvaro Jaña,Matías Bustamante,Vicente Torres"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264</v>
      </c>
    </row>
    <row r="3" customFormat="false" ht="15" hidden="false" customHeight="true" outlineLevel="0" collapsed="false">
      <c r="A3" s="12" t="s">
        <v>3</v>
      </c>
      <c r="B3" s="13" t="s">
        <v>26</v>
      </c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12" t="s">
        <v>4</v>
      </c>
      <c r="B4" s="13" t="s">
        <v>265</v>
      </c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A5" s="12" t="s">
        <v>50</v>
      </c>
      <c r="B5" s="13" t="s">
        <v>28</v>
      </c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2" t="s">
        <v>51</v>
      </c>
      <c r="B6" s="13" t="s">
        <v>45</v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2" t="s">
        <v>8</v>
      </c>
      <c r="B7" s="13" t="n">
        <f aca="false">SUM(D12:D20)</f>
        <v>33</v>
      </c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2" t="s">
        <v>9</v>
      </c>
      <c r="B8" s="13" t="n">
        <f aca="false">SUMIF(F12:F20,"Hecho",D12:D20)</f>
        <v>0</v>
      </c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2" t="s">
        <v>10</v>
      </c>
      <c r="B9" s="14" t="n">
        <f aca="false">IF(B7=0,0,B8/B7)</f>
        <v>0</v>
      </c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5" t="s">
        <v>53</v>
      </c>
      <c r="J10" s="15" t="s">
        <v>184</v>
      </c>
    </row>
    <row r="11" customFormat="false" ht="23.85" hidden="false" customHeight="fals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</v>
      </c>
      <c r="G11" s="3" t="s">
        <v>60</v>
      </c>
      <c r="H11" s="3" t="s">
        <v>61</v>
      </c>
      <c r="J11" s="3" t="s">
        <v>185</v>
      </c>
      <c r="K11" s="3" t="s">
        <v>87</v>
      </c>
      <c r="L11" s="3" t="s">
        <v>186</v>
      </c>
      <c r="M11" s="3" t="s">
        <v>187</v>
      </c>
      <c r="N11" s="3" t="s">
        <v>188</v>
      </c>
    </row>
    <row r="12" customFormat="false" ht="22.35" hidden="false" customHeight="false" outlineLevel="0" collapsed="false">
      <c r="A12" s="4" t="s">
        <v>266</v>
      </c>
      <c r="B12" s="5" t="s">
        <v>267</v>
      </c>
      <c r="C12" s="4" t="s">
        <v>65</v>
      </c>
      <c r="D12" s="4" t="n">
        <v>5</v>
      </c>
      <c r="E12" s="17" t="inlineStr">
        <is>
          <t xml:space="preserve">Álvaro Jaña</t>
        </is>
      </c>
      <c r="F12" s="6" t="inlineStr">
        <is>
          <t xml:space="preserve">Hecho</t>
        </is>
      </c>
      <c r="G12" s="19" t="n">
        <v>46302</v>
      </c>
      <c r="H12" s="5" t="s">
        <v>268</v>
      </c>
      <c r="J12" s="4" t="n">
        <v>1</v>
      </c>
      <c r="K12" s="20" t="n">
        <v>46314</v>
      </c>
      <c r="L12" s="21" t="n">
        <f aca="false">$B$7*(10-J12)/9</f>
        <v>33</v>
      </c>
      <c r="M12" s="6"/>
      <c r="N12" s="4" t="n">
        <f aca="false">$B$7-SUMIFS($D$12:$D$20,$F$12:$F$20,"Hecho",$G$12:$G$20,"&lt;="&amp;K12)</f>
        <v>33</v>
      </c>
    </row>
    <row r="13" customFormat="false" ht="22.35" hidden="false" customHeight="false" outlineLevel="0" collapsed="false">
      <c r="A13" s="4" t="s">
        <v>269</v>
      </c>
      <c r="B13" s="5" t="s">
        <v>270</v>
      </c>
      <c r="C13" s="4" t="s">
        <v>65</v>
      </c>
      <c r="D13" s="4" t="n">
        <v>1</v>
      </c>
      <c r="E13" s="17" t="inlineStr">
        <is>
          <t xml:space="preserve">Vicente Torres y Álvaro Jaña</t>
        </is>
      </c>
      <c r="F13" s="6" t="inlineStr">
        <is>
          <t xml:space="preserve">Hecho</t>
        </is>
      </c>
      <c r="G13" s="19" t="n">
        <v>46302</v>
      </c>
      <c r="H13" s="5" t="s">
        <v>271</v>
      </c>
      <c r="J13" s="4" t="n">
        <v>2</v>
      </c>
      <c r="K13" s="20" t="n">
        <v>46315</v>
      </c>
      <c r="L13" s="21" t="n">
        <f aca="false">$B$7*(10-J13)/9</f>
        <v>29.3333333333333</v>
      </c>
      <c r="M13" s="6"/>
      <c r="N13" s="4" t="n">
        <f aca="false">$B$7-SUMIFS($D$12:$D$20,$F$12:$F$20,"Hecho",$G$12:$G$20,"&lt;="&amp;K13)</f>
        <v>33</v>
      </c>
    </row>
    <row r="14" customFormat="false" ht="32.8" hidden="false" customHeight="false" outlineLevel="0" collapsed="false">
      <c r="A14" s="4" t="s">
        <v>272</v>
      </c>
      <c r="B14" s="5" t="s">
        <v>273</v>
      </c>
      <c r="C14" s="4" t="s">
        <v>65</v>
      </c>
      <c r="D14" s="4" t="n">
        <v>3</v>
      </c>
      <c r="E14" s="17" t="inlineStr">
        <is>
          <t xml:space="preserve">Vicente Torres</t>
        </is>
      </c>
      <c r="F14" s="6" t="inlineStr">
        <is>
          <t xml:space="preserve">Hecho</t>
        </is>
      </c>
      <c r="G14" s="19" t="n">
        <v>46301</v>
      </c>
      <c r="H14" s="5" t="s">
        <v>274</v>
      </c>
      <c r="J14" s="4" t="n">
        <v>3</v>
      </c>
      <c r="K14" s="20" t="n">
        <v>46316</v>
      </c>
      <c r="L14" s="21" t="n">
        <f aca="false">$B$7*(10-J14)/9</f>
        <v>25.6666666666667</v>
      </c>
      <c r="M14" s="6"/>
      <c r="N14" s="4" t="n">
        <f aca="false">$B$7-SUMIFS($D$12:$D$20,$F$12:$F$20,"Hecho",$G$12:$G$20,"&lt;="&amp;K14)</f>
        <v>33</v>
      </c>
    </row>
    <row r="15" customFormat="false" ht="22.35" hidden="false" customHeight="false" outlineLevel="0" collapsed="false">
      <c r="A15" s="4" t="s">
        <v>275</v>
      </c>
      <c r="B15" s="5" t="s">
        <v>276</v>
      </c>
      <c r="C15" s="4" t="s">
        <v>65</v>
      </c>
      <c r="D15" s="4" t="n">
        <v>5</v>
      </c>
      <c r="E15" s="17" t="inlineStr">
        <is>
          <t xml:space="preserve">Álvaro Jaña</t>
        </is>
      </c>
      <c r="F15" s="6" t="inlineStr">
        <is>
          <t xml:space="preserve">Hecho</t>
        </is>
      </c>
      <c r="G15" s="19" t="n">
        <v>46301</v>
      </c>
      <c r="H15" s="5" t="s">
        <v>277</v>
      </c>
      <c r="J15" s="4" t="n">
        <v>4</v>
      </c>
      <c r="K15" s="20" t="n">
        <v>46317</v>
      </c>
      <c r="L15" s="21" t="n">
        <f aca="false">$B$7*(10-J15)/9</f>
        <v>22</v>
      </c>
      <c r="M15" s="6"/>
      <c r="N15" s="4" t="n">
        <f aca="false">$B$7-SUMIFS($D$12:$D$20,$F$12:$F$20,"Hecho",$G$12:$G$20,"&lt;="&amp;K15)</f>
        <v>33</v>
      </c>
    </row>
    <row r="16" customFormat="false" ht="32.8" hidden="false" customHeight="false" outlineLevel="0" collapsed="false">
      <c r="A16" s="4" t="s">
        <v>278</v>
      </c>
      <c r="B16" s="5" t="s">
        <v>279</v>
      </c>
      <c r="C16" s="4" t="s">
        <v>65</v>
      </c>
      <c r="D16" s="4" t="n">
        <v>3</v>
      </c>
      <c r="E16" s="17" t="inlineStr">
        <is>
          <t xml:space="preserve">Vicente Torres</t>
        </is>
      </c>
      <c r="F16" s="6" t="inlineStr">
        <is>
          <t xml:space="preserve">Hecho</t>
        </is>
      </c>
      <c r="G16" s="19" t="n">
        <v>46301</v>
      </c>
      <c r="H16" s="5" t="s">
        <v>280</v>
      </c>
      <c r="J16" s="4" t="n">
        <v>5</v>
      </c>
      <c r="K16" s="20" t="n">
        <v>46318</v>
      </c>
      <c r="L16" s="21" t="n">
        <f aca="false">$B$7*(10-J16)/9</f>
        <v>18.3333333333333</v>
      </c>
      <c r="M16" s="6"/>
      <c r="N16" s="4" t="n">
        <f aca="false">$B$7-SUMIFS($D$12:$D$20,$F$12:$F$20,"Hecho",$G$12:$G$20,"&lt;="&amp;K16)</f>
        <v>33</v>
      </c>
    </row>
    <row r="17" customFormat="false" ht="32.8" hidden="false" customHeight="false" outlineLevel="0" collapsed="false">
      <c r="A17" s="4" t="s">
        <v>281</v>
      </c>
      <c r="B17" s="5" t="s">
        <v>282</v>
      </c>
      <c r="C17" s="4" t="s">
        <v>65</v>
      </c>
      <c r="D17" s="4" t="n">
        <v>5</v>
      </c>
      <c r="E17" s="17" t="inlineStr">
        <is>
          <t xml:space="preserve">Álvaro Jaña</t>
        </is>
      </c>
      <c r="F17" s="6" t="inlineStr">
        <is>
          <t xml:space="preserve">Hecho</t>
        </is>
      </c>
      <c r="G17" s="19" t="n">
        <v>46301</v>
      </c>
      <c r="H17" s="5" t="s">
        <v>283</v>
      </c>
      <c r="J17" s="4" t="n">
        <v>6</v>
      </c>
      <c r="K17" s="20" t="n">
        <v>46321</v>
      </c>
      <c r="L17" s="21" t="n">
        <f aca="false">$B$7*(10-J17)/9</f>
        <v>14.6666666666667</v>
      </c>
      <c r="M17" s="6"/>
      <c r="N17" s="4" t="n">
        <f aca="false">$B$7-SUMIFS($D$12:$D$20,$F$12:$F$20,"Hecho",$G$12:$G$20,"&lt;="&amp;K17)</f>
        <v>33</v>
      </c>
    </row>
    <row r="18" customFormat="false" ht="22.35" hidden="false" customHeight="false" outlineLevel="0" collapsed="false">
      <c r="A18" s="4" t="s">
        <v>284</v>
      </c>
      <c r="B18" s="5" t="s">
        <v>285</v>
      </c>
      <c r="C18" s="4" t="s">
        <v>65</v>
      </c>
      <c r="D18" s="4" t="n">
        <v>3</v>
      </c>
      <c r="E18" s="17" t="inlineStr">
        <is>
          <t xml:space="preserve">Álvaro Jaña</t>
        </is>
      </c>
      <c r="F18" s="6" t="inlineStr">
        <is>
          <t xml:space="preserve">Hecho</t>
        </is>
      </c>
      <c r="G18" s="19" t="n">
        <v>46302</v>
      </c>
      <c r="H18" s="5" t="s">
        <v>286</v>
      </c>
      <c r="J18" s="4" t="n">
        <v>7</v>
      </c>
      <c r="K18" s="20" t="n">
        <v>46322</v>
      </c>
      <c r="L18" s="21" t="n">
        <f aca="false">$B$7*(10-J18)/9</f>
        <v>11</v>
      </c>
      <c r="M18" s="6"/>
      <c r="N18" s="4" t="n">
        <f aca="false">$B$7-SUMIFS($D$12:$D$20,$F$12:$F$20,"Hecho",$G$12:$G$20,"&lt;="&amp;K18)</f>
        <v>33</v>
      </c>
    </row>
    <row r="19" customFormat="false" ht="32.8" hidden="false" customHeight="false" outlineLevel="0" collapsed="false">
      <c r="A19" s="4" t="s">
        <v>287</v>
      </c>
      <c r="B19" s="5" t="s">
        <v>288</v>
      </c>
      <c r="C19" s="4" t="s">
        <v>65</v>
      </c>
      <c r="D19" s="4" t="n">
        <v>3</v>
      </c>
      <c r="E19" s="17" t="inlineStr">
        <is>
          <t xml:space="preserve">Álvaro Jaña</t>
        </is>
      </c>
      <c r="F19" s="6" t="inlineStr">
        <is>
          <t xml:space="preserve">Hecho</t>
        </is>
      </c>
      <c r="G19" s="19" t="n">
        <v>46302</v>
      </c>
      <c r="H19" s="5" t="s">
        <v>289</v>
      </c>
      <c r="J19" s="4" t="n">
        <v>8</v>
      </c>
      <c r="K19" s="20" t="n">
        <v>46323</v>
      </c>
      <c r="L19" s="21" t="n">
        <f aca="false">$B$7*(10-J19)/9</f>
        <v>7.33333333333333</v>
      </c>
      <c r="M19" s="6"/>
      <c r="N19" s="4" t="n">
        <f aca="false">$B$7-SUMIFS($D$12:$D$20,$F$12:$F$20,"Hecho",$G$12:$G$20,"&lt;="&amp;K19)</f>
        <v>33</v>
      </c>
    </row>
    <row r="20" customFormat="false" ht="22.35" hidden="false" customHeight="false" outlineLevel="0" collapsed="false">
      <c r="A20" s="4" t="s">
        <v>290</v>
      </c>
      <c r="B20" s="5" t="s">
        <v>291</v>
      </c>
      <c r="C20" s="4" t="s">
        <v>65</v>
      </c>
      <c r="D20" s="4" t="n">
        <v>5</v>
      </c>
      <c r="E20" s="17" t="inlineStr">
        <is>
          <t xml:space="preserve">Álvaro Jaña</t>
        </is>
      </c>
      <c r="F20" s="6" t="inlineStr">
        <is>
          <t xml:space="preserve">Hecho</t>
        </is>
      </c>
      <c r="G20" s="19" t="n">
        <v>46302</v>
      </c>
      <c r="H20" s="5" t="s">
        <v>292</v>
      </c>
      <c r="J20" s="4" t="n">
        <v>9</v>
      </c>
      <c r="K20" s="20" t="n">
        <v>46324</v>
      </c>
      <c r="L20" s="21" t="n">
        <f aca="false">$B$7*(10-J20)/9</f>
        <v>3.66666666666667</v>
      </c>
      <c r="M20" s="6"/>
      <c r="N20" s="4" t="n">
        <f aca="false">$B$7-SUMIFS($D$12:$D$20,$F$12:$F$20,"Hecho",$G$12:$G$20,"&lt;="&amp;K20)</f>
        <v>33</v>
      </c>
    </row>
    <row r="21" customFormat="false" ht="15" hidden="false" customHeight="false" outlineLevel="0" collapsed="false">
      <c r="J21" s="4" t="n">
        <v>10</v>
      </c>
      <c r="K21" s="20" t="n">
        <v>46325</v>
      </c>
      <c r="L21" s="21" t="n">
        <f aca="false">$B$7*(10-J21)/9</f>
        <v>0</v>
      </c>
      <c r="M21" s="6"/>
      <c r="N21" s="4" t="n">
        <f aca="false">$B$7-SUMIFS($D$12:$D$20,$F$12:$F$20,"Hecho",$G$12:$G$20,"&lt;="&amp;K21)</f>
        <v>33</v>
      </c>
    </row>
    <row r="22" customFormat="false" ht="15" hidden="false" customHeight="false" outlineLevel="0" collapsed="false">
      <c r="A22" s="15" t="s">
        <v>82</v>
      </c>
      <c r="J22" s="2" t="s">
        <v>210</v>
      </c>
    </row>
    <row r="23" customFormat="false" ht="23.85" hidden="false" customHeight="false" outlineLevel="0" collapsed="false">
      <c r="A23" s="3" t="s">
        <v>83</v>
      </c>
      <c r="B23" s="3" t="s">
        <v>84</v>
      </c>
      <c r="C23" s="3" t="s">
        <v>85</v>
      </c>
      <c r="D23" s="3" t="s">
        <v>86</v>
      </c>
      <c r="E23" s="3" t="s">
        <v>59</v>
      </c>
      <c r="F23" s="3" t="s">
        <v>6</v>
      </c>
      <c r="G23" s="3" t="s">
        <v>87</v>
      </c>
      <c r="H23" s="3" t="s">
        <v>88</v>
      </c>
    </row>
    <row r="24" customFormat="false" ht="15" hidden="false" customHeight="false" outlineLevel="0" collapsed="false">
      <c r="A24" s="4" t="s">
        <v>293</v>
      </c>
      <c r="B24" s="17"/>
      <c r="C24" s="6"/>
      <c r="D24" s="6"/>
      <c r="E24" s="17"/>
      <c r="F24" s="6"/>
      <c r="G24" s="19"/>
      <c r="H24" s="17"/>
    </row>
    <row r="25" customFormat="false" ht="15" hidden="false" customHeight="false" outlineLevel="0" collapsed="false">
      <c r="A25" s="4" t="s">
        <v>294</v>
      </c>
      <c r="B25" s="17"/>
      <c r="C25" s="6"/>
      <c r="D25" s="6"/>
      <c r="E25" s="17"/>
      <c r="F25" s="6"/>
      <c r="G25" s="19"/>
      <c r="H25" s="17"/>
    </row>
    <row r="26" customFormat="false" ht="15" hidden="false" customHeight="false" outlineLevel="0" collapsed="false">
      <c r="A26" s="4" t="s">
        <v>295</v>
      </c>
      <c r="B26" s="17"/>
      <c r="C26" s="6"/>
      <c r="D26" s="6"/>
      <c r="E26" s="17"/>
      <c r="F26" s="6"/>
      <c r="G26" s="19"/>
      <c r="H26" s="17"/>
    </row>
    <row r="27" customFormat="false" ht="15" hidden="false" customHeight="false" outlineLevel="0" collapsed="false">
      <c r="A27" s="4" t="s">
        <v>296</v>
      </c>
      <c r="B27" s="17"/>
      <c r="C27" s="6"/>
      <c r="D27" s="6"/>
      <c r="E27" s="17"/>
      <c r="F27" s="6"/>
      <c r="G27" s="19"/>
      <c r="H27" s="17"/>
    </row>
    <row r="28" customFormat="false" ht="15" hidden="false" customHeight="false" outlineLevel="0" collapsed="false">
      <c r="A28" s="4" t="s">
        <v>297</v>
      </c>
      <c r="B28" s="17"/>
      <c r="C28" s="6"/>
      <c r="D28" s="6"/>
      <c r="E28" s="17"/>
      <c r="F28" s="6"/>
      <c r="G28" s="19"/>
      <c r="H28" s="17"/>
    </row>
    <row r="29" customFormat="false" ht="15" hidden="false" customHeight="false" outlineLevel="0" collapsed="false">
      <c r="A29" s="4" t="s">
        <v>298</v>
      </c>
      <c r="B29" s="17"/>
      <c r="C29" s="6"/>
      <c r="D29" s="6"/>
      <c r="E29" s="17"/>
      <c r="F29" s="6"/>
      <c r="G29" s="19"/>
      <c r="H29" s="17"/>
    </row>
    <row r="30" customFormat="false" ht="15" hidden="false" customHeight="false" outlineLevel="0" collapsed="false">
      <c r="A30" s="4" t="s">
        <v>299</v>
      </c>
      <c r="B30" s="17"/>
      <c r="C30" s="6"/>
      <c r="D30" s="6"/>
      <c r="E30" s="17"/>
      <c r="F30" s="6"/>
      <c r="G30" s="19"/>
      <c r="H30" s="17"/>
    </row>
    <row r="31" customFormat="false" ht="15" hidden="false" customHeight="false" outlineLevel="0" collapsed="false">
      <c r="A31" s="4" t="s">
        <v>300</v>
      </c>
      <c r="B31" s="17"/>
      <c r="C31" s="6"/>
      <c r="D31" s="6"/>
      <c r="E31" s="17"/>
      <c r="F31" s="6"/>
      <c r="G31" s="19"/>
      <c r="H31" s="17"/>
    </row>
    <row r="32" customFormat="false" ht="15" hidden="false" customHeight="false" outlineLevel="0" collapsed="false">
      <c r="A32" s="4" t="s">
        <v>301</v>
      </c>
      <c r="B32" s="17"/>
      <c r="C32" s="6"/>
      <c r="D32" s="6"/>
      <c r="E32" s="17"/>
      <c r="F32" s="6"/>
      <c r="G32" s="19"/>
      <c r="H32" s="17"/>
    </row>
    <row r="33" customFormat="false" ht="15" hidden="false" customHeight="false" outlineLevel="0" collapsed="false">
      <c r="A33" s="4" t="s">
        <v>302</v>
      </c>
      <c r="B33" s="17"/>
      <c r="C33" s="6"/>
      <c r="D33" s="6"/>
      <c r="E33" s="17"/>
      <c r="F33" s="6"/>
      <c r="G33" s="19"/>
      <c r="H33" s="17"/>
    </row>
    <row r="34" customFormat="false" ht="15" hidden="false" customHeight="false" outlineLevel="0" collapsed="false">
      <c r="A34" s="4" t="s">
        <v>303</v>
      </c>
      <c r="B34" s="17"/>
      <c r="C34" s="6"/>
      <c r="D34" s="6"/>
      <c r="E34" s="17"/>
      <c r="F34" s="6"/>
      <c r="G34" s="19"/>
      <c r="H34" s="17"/>
    </row>
    <row r="35" customFormat="false" ht="15" hidden="false" customHeight="false" outlineLevel="0" collapsed="false">
      <c r="A35" s="4" t="s">
        <v>304</v>
      </c>
      <c r="B35" s="17"/>
      <c r="C35" s="6"/>
      <c r="D35" s="6"/>
      <c r="E35" s="17"/>
      <c r="F35" s="6"/>
      <c r="G35" s="19"/>
      <c r="H35" s="17"/>
    </row>
    <row r="37" customFormat="false" ht="15" hidden="false" customHeight="false" outlineLevel="0" collapsed="false">
      <c r="A37" s="2" t="s">
        <v>305</v>
      </c>
    </row>
  </sheetData>
  <mergeCells count="7">
    <mergeCell ref="B3:H3"/>
    <mergeCell ref="B4:H4"/>
    <mergeCell ref="B5:H5"/>
    <mergeCell ref="B6:H6"/>
    <mergeCell ref="B7:H7"/>
    <mergeCell ref="B8:H8"/>
    <mergeCell ref="B9:H9"/>
  </mergeCells>
  <conditionalFormatting sqref="F12:F20">
    <cfRule type="expression" priority="2" aboveAverage="0" equalAverage="0" bottom="0" percent="0" rank="0" text="" dxfId="0">
      <formula>$F12="Hecho"</formula>
    </cfRule>
  </conditionalFormatting>
  <conditionalFormatting sqref="F24:F45">
    <cfRule type="expression" priority="3" aboveAverage="0" equalAverage="0" bottom="0" percent="0" rank="0" text="" dxfId="0">
      <formula>$F24="Hecho"</formula>
    </cfRule>
    <cfRule type="expression" priority="4" aboveAverage="0" equalAverage="0" bottom="0" percent="0" rank="0" text="" dxfId="1">
      <formula>$F24="En curso"</formula>
    </cfRule>
    <cfRule type="expression" priority="5" aboveAverage="0" equalAverage="0" bottom="0" percent="0" rank="0" text="" dxfId="2">
      <formula>$F24="En revisión"</formula>
    </cfRule>
  </conditionalFormatting>
  <dataValidations count="4">
    <dataValidation allowBlank="false" errorStyle="stop" operator="between" showDropDown="false" showErrorMessage="false" showInputMessage="false" sqref="F12:F20" type="list">
      <formula1>"Por hacer,En curso,Hecho"</formula1>
      <formula2>0</formula2>
    </dataValidation>
    <dataValidation allowBlank="false" errorStyle="stop" operator="between" showDropDown="false" showErrorMessage="false" showInputMessage="false" sqref="E12:E20" type="list">
      <formula1>"Álvaro Jaña,Matías Bustamante,Vicente Torres"</formula1>
      <formula2>0</formula2>
    </dataValidation>
    <dataValidation allowBlank="false" errorStyle="stop" operator="between" showDropDown="false" showErrorMessage="false" showInputMessage="false" sqref="F24:F45" type="list">
      <formula1>"Por hacer,En curso,En revisión,Hecho"</formula1>
      <formula2>0</formula2>
    </dataValidation>
    <dataValidation allowBlank="false" errorStyle="stop" operator="between" showDropDown="false" showErrorMessage="false" showInputMessage="false" sqref="E24:E45" type="list">
      <formula1>"Álvaro Jaña,Matías Bustamante,Vicente Torres"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306</v>
      </c>
    </row>
    <row r="3" customFormat="false" ht="15" hidden="false" customHeight="true" outlineLevel="0" collapsed="false">
      <c r="A3" s="12" t="s">
        <v>3</v>
      </c>
      <c r="B3" s="13" t="s">
        <v>30</v>
      </c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12" t="s">
        <v>4</v>
      </c>
      <c r="B4" s="13" t="s">
        <v>307</v>
      </c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A5" s="12" t="s">
        <v>50</v>
      </c>
      <c r="B5" s="13" t="s">
        <v>32</v>
      </c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2" t="s">
        <v>51</v>
      </c>
      <c r="B6" s="13" t="s">
        <v>45</v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2" t="s">
        <v>8</v>
      </c>
      <c r="B7" s="13" t="n">
        <f aca="false">SUM(D12:D20)</f>
        <v>30</v>
      </c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2" t="s">
        <v>9</v>
      </c>
      <c r="B8" s="13" t="n">
        <f aca="false">SUMIF(F12:F20,"Hecho",D12:D20)</f>
        <v>0</v>
      </c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2" t="s">
        <v>10</v>
      </c>
      <c r="B9" s="14" t="n">
        <f aca="false">IF(B7=0,0,B8/B7)</f>
        <v>0</v>
      </c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5" t="s">
        <v>53</v>
      </c>
      <c r="J10" s="15" t="s">
        <v>184</v>
      </c>
    </row>
    <row r="11" customFormat="false" ht="23.85" hidden="false" customHeight="fals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</v>
      </c>
      <c r="G11" s="3" t="s">
        <v>60</v>
      </c>
      <c r="H11" s="3" t="s">
        <v>61</v>
      </c>
      <c r="J11" s="3" t="s">
        <v>185</v>
      </c>
      <c r="K11" s="3" t="s">
        <v>87</v>
      </c>
      <c r="L11" s="3" t="s">
        <v>186</v>
      </c>
      <c r="M11" s="3" t="s">
        <v>187</v>
      </c>
      <c r="N11" s="3" t="s">
        <v>188</v>
      </c>
    </row>
    <row r="12" customFormat="false" ht="32.8" hidden="false" customHeight="false" outlineLevel="0" collapsed="false">
      <c r="A12" s="4" t="s">
        <v>308</v>
      </c>
      <c r="B12" s="5" t="s">
        <v>309</v>
      </c>
      <c r="C12" s="4" t="s">
        <v>65</v>
      </c>
      <c r="D12" s="4" t="n">
        <v>8</v>
      </c>
      <c r="E12" s="17" t="inlineStr">
        <is>
          <t xml:space="preserve">Álvaro Jaña</t>
        </is>
      </c>
      <c r="F12" s="6" t="inlineStr">
        <is>
          <t xml:space="preserve">Hecho</t>
        </is>
      </c>
      <c r="G12" s="19" t="n">
        <v>46302</v>
      </c>
      <c r="H12" s="5" t="s">
        <v>310</v>
      </c>
      <c r="J12" s="4" t="n">
        <v>1</v>
      </c>
      <c r="K12" s="20" t="n">
        <v>46328</v>
      </c>
      <c r="L12" s="21" t="n">
        <f aca="false">$B$7*(10-J12)/9</f>
        <v>30</v>
      </c>
      <c r="M12" s="6"/>
      <c r="N12" s="4" t="n">
        <f aca="false">$B$7-SUMIFS($D$12:$D$20,$F$12:$F$20,"Hecho",$G$12:$G$20,"&lt;="&amp;K12)</f>
        <v>30</v>
      </c>
    </row>
    <row r="13" customFormat="false" ht="22.35" hidden="false" customHeight="false" outlineLevel="0" collapsed="false">
      <c r="A13" s="4" t="s">
        <v>311</v>
      </c>
      <c r="B13" s="5" t="s">
        <v>312</v>
      </c>
      <c r="C13" s="4" t="s">
        <v>65</v>
      </c>
      <c r="D13" s="4" t="n">
        <v>2</v>
      </c>
      <c r="E13" s="17" t="inlineStr">
        <is>
          <t xml:space="preserve">Vicente Torres y Álvaro Jaña</t>
        </is>
      </c>
      <c r="F13" s="6" t="inlineStr">
        <is>
          <t xml:space="preserve">Hecho</t>
        </is>
      </c>
      <c r="G13" s="19" t="n">
        <v>46301</v>
      </c>
      <c r="H13" s="5" t="s">
        <v>313</v>
      </c>
      <c r="J13" s="4" t="n">
        <v>2</v>
      </c>
      <c r="K13" s="20" t="n">
        <v>46329</v>
      </c>
      <c r="L13" s="21" t="n">
        <f aca="false">$B$7*(10-J13)/9</f>
        <v>26.6666666666667</v>
      </c>
      <c r="M13" s="6"/>
      <c r="N13" s="4" t="n">
        <f aca="false">$B$7-SUMIFS($D$12:$D$20,$F$12:$F$20,"Hecho",$G$12:$G$20,"&lt;="&amp;K13)</f>
        <v>30</v>
      </c>
    </row>
    <row r="14" customFormat="false" ht="22.35" hidden="false" customHeight="false" outlineLevel="0" collapsed="false">
      <c r="A14" s="4" t="s">
        <v>314</v>
      </c>
      <c r="B14" s="5" t="s">
        <v>315</v>
      </c>
      <c r="C14" s="4" t="s">
        <v>65</v>
      </c>
      <c r="D14" s="4" t="n">
        <v>3</v>
      </c>
      <c r="E14" s="17" t="inlineStr">
        <is>
          <t xml:space="preserve">Vicente Torres</t>
        </is>
      </c>
      <c r="F14" s="6" t="inlineStr">
        <is>
          <t xml:space="preserve">Hecho</t>
        </is>
      </c>
      <c r="G14" s="19" t="n">
        <v>46301</v>
      </c>
      <c r="H14" s="5" t="s">
        <v>316</v>
      </c>
      <c r="J14" s="4" t="n">
        <v>3</v>
      </c>
      <c r="K14" s="20" t="n">
        <v>46330</v>
      </c>
      <c r="L14" s="21" t="n">
        <f aca="false">$B$7*(10-J14)/9</f>
        <v>23.3333333333333</v>
      </c>
      <c r="M14" s="6"/>
      <c r="N14" s="4" t="n">
        <f aca="false">$B$7-SUMIFS($D$12:$D$20,$F$12:$F$20,"Hecho",$G$12:$G$20,"&lt;="&amp;K14)</f>
        <v>30</v>
      </c>
    </row>
    <row r="15" customFormat="false" ht="32.8" hidden="false" customHeight="false" outlineLevel="0" collapsed="false">
      <c r="A15" s="4" t="s">
        <v>317</v>
      </c>
      <c r="B15" s="5" t="s">
        <v>318</v>
      </c>
      <c r="C15" s="4" t="s">
        <v>65</v>
      </c>
      <c r="D15" s="4" t="n">
        <v>5</v>
      </c>
      <c r="E15" s="17" t="inlineStr">
        <is>
          <t xml:space="preserve">Álvaro Jaña</t>
        </is>
      </c>
      <c r="F15" s="6" t="inlineStr">
        <is>
          <t xml:space="preserve">Hecho</t>
        </is>
      </c>
      <c r="G15" s="19" t="n">
        <v>46302</v>
      </c>
      <c r="H15" s="5" t="s">
        <v>319</v>
      </c>
      <c r="J15" s="4" t="n">
        <v>4</v>
      </c>
      <c r="K15" s="20" t="n">
        <v>46331</v>
      </c>
      <c r="L15" s="21" t="n">
        <f aca="false">$B$7*(10-J15)/9</f>
        <v>20</v>
      </c>
      <c r="M15" s="6"/>
      <c r="N15" s="4" t="n">
        <f aca="false">$B$7-SUMIFS($D$12:$D$20,$F$12:$F$20,"Hecho",$G$12:$G$20,"&lt;="&amp;K15)</f>
        <v>30</v>
      </c>
    </row>
    <row r="16" customFormat="false" ht="22.35" hidden="false" customHeight="false" outlineLevel="0" collapsed="false">
      <c r="A16" s="4" t="s">
        <v>320</v>
      </c>
      <c r="B16" s="5" t="s">
        <v>321</v>
      </c>
      <c r="C16" s="4" t="s">
        <v>65</v>
      </c>
      <c r="D16" s="4" t="n">
        <v>2</v>
      </c>
      <c r="E16" s="17"/>
      <c r="F16" s="6" t="s">
        <v>214</v>
      </c>
      <c r="G16" s="19"/>
      <c r="H16" s="5" t="s">
        <v>322</v>
      </c>
      <c r="J16" s="4" t="n">
        <v>5</v>
      </c>
      <c r="K16" s="20" t="n">
        <v>46332</v>
      </c>
      <c r="L16" s="21" t="n">
        <f aca="false">$B$7*(10-J16)/9</f>
        <v>16.6666666666667</v>
      </c>
      <c r="M16" s="6"/>
      <c r="N16" s="4" t="n">
        <f aca="false">$B$7-SUMIFS($D$12:$D$20,$F$12:$F$20,"Hecho",$G$12:$G$20,"&lt;="&amp;K16)</f>
        <v>30</v>
      </c>
    </row>
    <row r="17" customFormat="false" ht="22.35" hidden="false" customHeight="false" outlineLevel="0" collapsed="false">
      <c r="A17" s="4" t="s">
        <v>323</v>
      </c>
      <c r="B17" s="5" t="s">
        <v>324</v>
      </c>
      <c r="C17" s="4" t="s">
        <v>65</v>
      </c>
      <c r="D17" s="4" t="n">
        <v>3</v>
      </c>
      <c r="E17" s="17"/>
      <c r="F17" s="6" t="s">
        <v>214</v>
      </c>
      <c r="G17" s="19"/>
      <c r="H17" s="5" t="s">
        <v>325</v>
      </c>
      <c r="J17" s="4" t="n">
        <v>6</v>
      </c>
      <c r="K17" s="20" t="n">
        <v>46335</v>
      </c>
      <c r="L17" s="21" t="n">
        <f aca="false">$B$7*(10-J17)/9</f>
        <v>13.3333333333333</v>
      </c>
      <c r="M17" s="6"/>
      <c r="N17" s="4" t="n">
        <f aca="false">$B$7-SUMIFS($D$12:$D$20,$F$12:$F$20,"Hecho",$G$12:$G$20,"&lt;="&amp;K17)</f>
        <v>30</v>
      </c>
    </row>
    <row r="18" customFormat="false" ht="22.35" hidden="false" customHeight="false" outlineLevel="0" collapsed="false">
      <c r="A18" s="4" t="s">
        <v>326</v>
      </c>
      <c r="B18" s="5" t="s">
        <v>327</v>
      </c>
      <c r="C18" s="4" t="s">
        <v>77</v>
      </c>
      <c r="D18" s="4" t="n">
        <v>2</v>
      </c>
      <c r="E18" s="17" t="inlineStr">
        <is>
          <t xml:space="preserve">Álvaro Jaña</t>
        </is>
      </c>
      <c r="F18" s="6" t="inlineStr">
        <is>
          <t xml:space="preserve">Hecho</t>
        </is>
      </c>
      <c r="G18" s="19" t="n">
        <v>46302</v>
      </c>
      <c r="H18" s="5" t="s">
        <v>328</v>
      </c>
      <c r="J18" s="4" t="n">
        <v>7</v>
      </c>
      <c r="K18" s="20" t="n">
        <v>46336</v>
      </c>
      <c r="L18" s="21" t="n">
        <f aca="false">$B$7*(10-J18)/9</f>
        <v>10</v>
      </c>
      <c r="M18" s="6"/>
      <c r="N18" s="4" t="n">
        <f aca="false">$B$7-SUMIFS($D$12:$D$20,$F$12:$F$20,"Hecho",$G$12:$G$20,"&lt;="&amp;K18)</f>
        <v>30</v>
      </c>
    </row>
    <row r="19" customFormat="false" ht="22.35" hidden="false" customHeight="false" outlineLevel="0" collapsed="false">
      <c r="A19" s="4" t="s">
        <v>329</v>
      </c>
      <c r="B19" s="5" t="s">
        <v>330</v>
      </c>
      <c r="C19" s="4" t="s">
        <v>77</v>
      </c>
      <c r="D19" s="4" t="n">
        <v>3</v>
      </c>
      <c r="E19" s="17" t="inlineStr">
        <is>
          <t xml:space="preserve">Álvaro Jaña</t>
        </is>
      </c>
      <c r="F19" s="6" t="inlineStr">
        <is>
          <t xml:space="preserve">Hecho</t>
        </is>
      </c>
      <c r="G19" s="19" t="n">
        <v>46302</v>
      </c>
      <c r="H19" s="5" t="s">
        <v>331</v>
      </c>
      <c r="J19" s="4" t="n">
        <v>8</v>
      </c>
      <c r="K19" s="20" t="n">
        <v>46337</v>
      </c>
      <c r="L19" s="21" t="n">
        <f aca="false">$B$7*(10-J19)/9</f>
        <v>6.66666666666667</v>
      </c>
      <c r="M19" s="6"/>
      <c r="N19" s="4" t="n">
        <f aca="false">$B$7-SUMIFS($D$12:$D$20,$F$12:$F$20,"Hecho",$G$12:$G$20,"&lt;="&amp;K19)</f>
        <v>30</v>
      </c>
    </row>
    <row r="20" customFormat="false" ht="22.35" hidden="false" customHeight="false" outlineLevel="0" collapsed="false">
      <c r="A20" s="4" t="s">
        <v>332</v>
      </c>
      <c r="B20" s="5" t="s">
        <v>333</v>
      </c>
      <c r="C20" s="4" t="s">
        <v>77</v>
      </c>
      <c r="D20" s="4" t="n">
        <v>2</v>
      </c>
      <c r="E20" s="17" t="inlineStr">
        <is>
          <t xml:space="preserve">Álvaro Jaña</t>
        </is>
      </c>
      <c r="F20" s="6" t="inlineStr">
        <is>
          <t xml:space="preserve">Hecho</t>
        </is>
      </c>
      <c r="G20" s="19" t="n">
        <v>46302</v>
      </c>
      <c r="H20" s="5" t="s">
        <v>334</v>
      </c>
      <c r="J20" s="4" t="n">
        <v>9</v>
      </c>
      <c r="K20" s="20" t="n">
        <v>46338</v>
      </c>
      <c r="L20" s="21" t="n">
        <f aca="false">$B$7*(10-J20)/9</f>
        <v>3.33333333333333</v>
      </c>
      <c r="M20" s="6"/>
      <c r="N20" s="4" t="n">
        <f aca="false">$B$7-SUMIFS($D$12:$D$20,$F$12:$F$20,"Hecho",$G$12:$G$20,"&lt;="&amp;K20)</f>
        <v>30</v>
      </c>
    </row>
    <row r="21" customFormat="false" ht="15" hidden="false" customHeight="false" outlineLevel="0" collapsed="false">
      <c r="J21" s="4" t="n">
        <v>10</v>
      </c>
      <c r="K21" s="20" t="n">
        <v>46339</v>
      </c>
      <c r="L21" s="21" t="n">
        <f aca="false">$B$7*(10-J21)/9</f>
        <v>0</v>
      </c>
      <c r="M21" s="6"/>
      <c r="N21" s="4" t="n">
        <f aca="false">$B$7-SUMIFS($D$12:$D$20,$F$12:$F$20,"Hecho",$G$12:$G$20,"&lt;="&amp;K21)</f>
        <v>30</v>
      </c>
    </row>
    <row r="22" customFormat="false" ht="15" hidden="false" customHeight="false" outlineLevel="0" collapsed="false">
      <c r="A22" s="15" t="s">
        <v>82</v>
      </c>
      <c r="J22" s="2" t="s">
        <v>210</v>
      </c>
    </row>
    <row r="23" customFormat="false" ht="23.85" hidden="false" customHeight="false" outlineLevel="0" collapsed="false">
      <c r="A23" s="3" t="s">
        <v>83</v>
      </c>
      <c r="B23" s="3" t="s">
        <v>84</v>
      </c>
      <c r="C23" s="3" t="s">
        <v>85</v>
      </c>
      <c r="D23" s="3" t="s">
        <v>86</v>
      </c>
      <c r="E23" s="3" t="s">
        <v>59</v>
      </c>
      <c r="F23" s="3" t="s">
        <v>6</v>
      </c>
      <c r="G23" s="3" t="s">
        <v>87</v>
      </c>
      <c r="H23" s="3" t="s">
        <v>88</v>
      </c>
    </row>
    <row r="24" customFormat="false" ht="15" hidden="false" customHeight="false" outlineLevel="0" collapsed="false">
      <c r="A24" s="4" t="s">
        <v>335</v>
      </c>
      <c r="B24" s="17"/>
      <c r="C24" s="6"/>
      <c r="D24" s="6"/>
      <c r="E24" s="17"/>
      <c r="F24" s="6"/>
      <c r="G24" s="19"/>
      <c r="H24" s="17"/>
    </row>
    <row r="25" customFormat="false" ht="15" hidden="false" customHeight="false" outlineLevel="0" collapsed="false">
      <c r="A25" s="4" t="s">
        <v>336</v>
      </c>
      <c r="B25" s="17"/>
      <c r="C25" s="6"/>
      <c r="D25" s="6"/>
      <c r="E25" s="17"/>
      <c r="F25" s="6"/>
      <c r="G25" s="19"/>
      <c r="H25" s="17"/>
    </row>
    <row r="26" customFormat="false" ht="15" hidden="false" customHeight="false" outlineLevel="0" collapsed="false">
      <c r="A26" s="4" t="s">
        <v>337</v>
      </c>
      <c r="B26" s="17"/>
      <c r="C26" s="6"/>
      <c r="D26" s="6"/>
      <c r="E26" s="17"/>
      <c r="F26" s="6"/>
      <c r="G26" s="19"/>
      <c r="H26" s="17"/>
    </row>
    <row r="27" customFormat="false" ht="15" hidden="false" customHeight="false" outlineLevel="0" collapsed="false">
      <c r="A27" s="4" t="s">
        <v>338</v>
      </c>
      <c r="B27" s="17"/>
      <c r="C27" s="6"/>
      <c r="D27" s="6"/>
      <c r="E27" s="17"/>
      <c r="F27" s="6"/>
      <c r="G27" s="19"/>
      <c r="H27" s="17"/>
    </row>
    <row r="28" customFormat="false" ht="15" hidden="false" customHeight="false" outlineLevel="0" collapsed="false">
      <c r="A28" s="4" t="s">
        <v>339</v>
      </c>
      <c r="B28" s="17"/>
      <c r="C28" s="6"/>
      <c r="D28" s="6"/>
      <c r="E28" s="17"/>
      <c r="F28" s="6"/>
      <c r="G28" s="19"/>
      <c r="H28" s="17"/>
    </row>
    <row r="29" customFormat="false" ht="15" hidden="false" customHeight="false" outlineLevel="0" collapsed="false">
      <c r="A29" s="4" t="s">
        <v>340</v>
      </c>
      <c r="B29" s="17"/>
      <c r="C29" s="6"/>
      <c r="D29" s="6"/>
      <c r="E29" s="17"/>
      <c r="F29" s="6"/>
      <c r="G29" s="19"/>
      <c r="H29" s="17"/>
    </row>
    <row r="30" customFormat="false" ht="15" hidden="false" customHeight="false" outlineLevel="0" collapsed="false">
      <c r="A30" s="4" t="s">
        <v>341</v>
      </c>
      <c r="B30" s="17"/>
      <c r="C30" s="6"/>
      <c r="D30" s="6"/>
      <c r="E30" s="17"/>
      <c r="F30" s="6"/>
      <c r="G30" s="19"/>
      <c r="H30" s="17"/>
    </row>
    <row r="31" customFormat="false" ht="15" hidden="false" customHeight="false" outlineLevel="0" collapsed="false">
      <c r="A31" s="4" t="s">
        <v>342</v>
      </c>
      <c r="B31" s="17"/>
      <c r="C31" s="6"/>
      <c r="D31" s="6"/>
      <c r="E31" s="17"/>
      <c r="F31" s="6"/>
      <c r="G31" s="19"/>
      <c r="H31" s="17"/>
    </row>
    <row r="32" customFormat="false" ht="15" hidden="false" customHeight="false" outlineLevel="0" collapsed="false">
      <c r="A32" s="4" t="s">
        <v>343</v>
      </c>
      <c r="B32" s="17"/>
      <c r="C32" s="6"/>
      <c r="D32" s="6"/>
      <c r="E32" s="17"/>
      <c r="F32" s="6"/>
      <c r="G32" s="19"/>
      <c r="H32" s="17"/>
    </row>
    <row r="33" customFormat="false" ht="15" hidden="false" customHeight="false" outlineLevel="0" collapsed="false">
      <c r="A33" s="4" t="s">
        <v>344</v>
      </c>
      <c r="B33" s="17"/>
      <c r="C33" s="6"/>
      <c r="D33" s="6"/>
      <c r="E33" s="17"/>
      <c r="F33" s="6"/>
      <c r="G33" s="19"/>
      <c r="H33" s="17"/>
    </row>
    <row r="34" customFormat="false" ht="15" hidden="false" customHeight="false" outlineLevel="0" collapsed="false">
      <c r="A34" s="4" t="s">
        <v>345</v>
      </c>
      <c r="B34" s="17"/>
      <c r="C34" s="6"/>
      <c r="D34" s="6"/>
      <c r="E34" s="17"/>
      <c r="F34" s="6"/>
      <c r="G34" s="19"/>
      <c r="H34" s="17"/>
    </row>
    <row r="35" customFormat="false" ht="15" hidden="false" customHeight="false" outlineLevel="0" collapsed="false">
      <c r="A35" s="4" t="s">
        <v>346</v>
      </c>
      <c r="B35" s="17"/>
      <c r="C35" s="6"/>
      <c r="D35" s="6"/>
      <c r="E35" s="17"/>
      <c r="F35" s="6"/>
      <c r="G35" s="19"/>
      <c r="H35" s="17"/>
    </row>
    <row r="37" customFormat="false" ht="15" hidden="false" customHeight="false" outlineLevel="0" collapsed="false">
      <c r="A37" s="2" t="s">
        <v>305</v>
      </c>
    </row>
  </sheetData>
  <mergeCells count="7">
    <mergeCell ref="B3:H3"/>
    <mergeCell ref="B4:H4"/>
    <mergeCell ref="B5:H5"/>
    <mergeCell ref="B6:H6"/>
    <mergeCell ref="B7:H7"/>
    <mergeCell ref="B8:H8"/>
    <mergeCell ref="B9:H9"/>
  </mergeCells>
  <conditionalFormatting sqref="F12:F20">
    <cfRule type="expression" priority="2" aboveAverage="0" equalAverage="0" bottom="0" percent="0" rank="0" text="" dxfId="0">
      <formula>$F12="Hecho"</formula>
    </cfRule>
  </conditionalFormatting>
  <conditionalFormatting sqref="F24:F45">
    <cfRule type="expression" priority="3" aboveAverage="0" equalAverage="0" bottom="0" percent="0" rank="0" text="" dxfId="0">
      <formula>$F24="Hecho"</formula>
    </cfRule>
    <cfRule type="expression" priority="4" aboveAverage="0" equalAverage="0" bottom="0" percent="0" rank="0" text="" dxfId="1">
      <formula>$F24="En curso"</formula>
    </cfRule>
    <cfRule type="expression" priority="5" aboveAverage="0" equalAverage="0" bottom="0" percent="0" rank="0" text="" dxfId="2">
      <formula>$F24="En revisión"</formula>
    </cfRule>
  </conditionalFormatting>
  <dataValidations count="4">
    <dataValidation allowBlank="false" errorStyle="stop" operator="between" showDropDown="false" showErrorMessage="false" showInputMessage="false" sqref="F12:F20" type="list">
      <formula1>"Por hacer,En curso,Hecho"</formula1>
      <formula2>0</formula2>
    </dataValidation>
    <dataValidation allowBlank="false" errorStyle="stop" operator="between" showDropDown="false" showErrorMessage="false" showInputMessage="false" sqref="E12:E20" type="list">
      <formula1>"Álvaro Jaña,Matías Bustamante,Vicente Torres"</formula1>
      <formula2>0</formula2>
    </dataValidation>
    <dataValidation allowBlank="false" errorStyle="stop" operator="between" showDropDown="false" showErrorMessage="false" showInputMessage="false" sqref="F24:F45" type="list">
      <formula1>"Por hacer,En curso,En revisión,Hecho"</formula1>
      <formula2>0</formula2>
    </dataValidation>
    <dataValidation allowBlank="false" errorStyle="stop" operator="between" showDropDown="false" showErrorMessage="false" showInputMessage="false" sqref="E24:E45" type="list">
      <formula1>"Álvaro Jaña,Matías Bustamante,Vicente Torres"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347</v>
      </c>
    </row>
    <row r="3" customFormat="false" ht="15" hidden="false" customHeight="true" outlineLevel="0" collapsed="false">
      <c r="A3" s="12" t="s">
        <v>3</v>
      </c>
      <c r="B3" s="13" t="s">
        <v>34</v>
      </c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12" t="s">
        <v>4</v>
      </c>
      <c r="B4" s="13" t="s">
        <v>348</v>
      </c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A5" s="12" t="s">
        <v>50</v>
      </c>
      <c r="B5" s="13" t="s">
        <v>36</v>
      </c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2" t="s">
        <v>51</v>
      </c>
      <c r="B6" s="13" t="s">
        <v>45</v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2" t="s">
        <v>8</v>
      </c>
      <c r="B7" s="13" t="n">
        <f aca="false">SUM(D12:D18)</f>
        <v>25</v>
      </c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2" t="s">
        <v>9</v>
      </c>
      <c r="B8" s="13" t="n">
        <f aca="false">SUMIF(F12:F18,"Hecho",D12:D18)</f>
        <v>0</v>
      </c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2" t="s">
        <v>10</v>
      </c>
      <c r="B9" s="14" t="n">
        <f aca="false">IF(B7=0,0,B8/B7)</f>
        <v>0</v>
      </c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5" t="s">
        <v>53</v>
      </c>
      <c r="J10" s="15" t="s">
        <v>184</v>
      </c>
    </row>
    <row r="11" customFormat="false" ht="23.85" hidden="false" customHeight="fals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</v>
      </c>
      <c r="G11" s="3" t="s">
        <v>60</v>
      </c>
      <c r="H11" s="3" t="s">
        <v>61</v>
      </c>
      <c r="J11" s="3" t="s">
        <v>185</v>
      </c>
      <c r="K11" s="3" t="s">
        <v>87</v>
      </c>
      <c r="L11" s="3" t="s">
        <v>186</v>
      </c>
      <c r="M11" s="3" t="s">
        <v>187</v>
      </c>
      <c r="N11" s="3" t="s">
        <v>188</v>
      </c>
    </row>
    <row r="12" customFormat="false" ht="22.35" hidden="false" customHeight="false" outlineLevel="0" collapsed="false">
      <c r="A12" s="4" t="s">
        <v>349</v>
      </c>
      <c r="B12" s="5" t="s">
        <v>350</v>
      </c>
      <c r="C12" s="4" t="s">
        <v>65</v>
      </c>
      <c r="D12" s="4" t="n">
        <v>5</v>
      </c>
      <c r="E12" s="17" t="inlineStr">
        <is>
          <t xml:space="preserve">Álvaro Jaña</t>
        </is>
      </c>
      <c r="F12" s="6" t="inlineStr">
        <is>
          <t xml:space="preserve">Hecho</t>
        </is>
      </c>
      <c r="G12" s="19" t="n">
        <v>46302</v>
      </c>
      <c r="H12" s="5" t="s">
        <v>351</v>
      </c>
      <c r="J12" s="4" t="n">
        <v>1</v>
      </c>
      <c r="K12" s="20" t="n">
        <v>46342</v>
      </c>
      <c r="L12" s="21" t="n">
        <f aca="false">$B$7*(10-J12)/9</f>
        <v>25</v>
      </c>
      <c r="M12" s="6"/>
      <c r="N12" s="4" t="n">
        <f aca="false">$B$7-SUMIFS($D$12:$D$18,$F$12:$F$18,"Hecho",$G$12:$G$18,"&lt;="&amp;K12)</f>
        <v>25</v>
      </c>
    </row>
    <row r="13" customFormat="false" ht="22.35" hidden="false" customHeight="false" outlineLevel="0" collapsed="false">
      <c r="A13" s="4" t="s">
        <v>352</v>
      </c>
      <c r="B13" s="5" t="s">
        <v>353</v>
      </c>
      <c r="C13" s="4" t="s">
        <v>65</v>
      </c>
      <c r="D13" s="4" t="n">
        <v>5</v>
      </c>
      <c r="E13" s="17" t="inlineStr">
        <is>
          <t xml:space="preserve">Álvaro Jaña</t>
        </is>
      </c>
      <c r="F13" s="6" t="inlineStr">
        <is>
          <t xml:space="preserve">Hecho</t>
        </is>
      </c>
      <c r="G13" s="19" t="n">
        <v>46302</v>
      </c>
      <c r="H13" s="5" t="s">
        <v>354</v>
      </c>
      <c r="J13" s="4" t="n">
        <v>2</v>
      </c>
      <c r="K13" s="20" t="n">
        <v>46343</v>
      </c>
      <c r="L13" s="21" t="n">
        <f aca="false">$B$7*(10-J13)/9</f>
        <v>22.2222222222222</v>
      </c>
      <c r="M13" s="6"/>
      <c r="N13" s="4" t="n">
        <f aca="false">$B$7-SUMIFS($D$12:$D$18,$F$12:$F$18,"Hecho",$G$12:$G$18,"&lt;="&amp;K13)</f>
        <v>25</v>
      </c>
    </row>
    <row r="14" customFormat="false" ht="32.8" hidden="false" customHeight="false" outlineLevel="0" collapsed="false">
      <c r="A14" s="4" t="s">
        <v>355</v>
      </c>
      <c r="B14" s="5" t="s">
        <v>356</v>
      </c>
      <c r="C14" s="4" t="s">
        <v>65</v>
      </c>
      <c r="D14" s="4" t="n">
        <v>5</v>
      </c>
      <c r="E14" s="17" t="inlineStr">
        <is>
          <t xml:space="preserve">Álvaro Jaña</t>
        </is>
      </c>
      <c r="F14" s="6" t="inlineStr">
        <is>
          <t xml:space="preserve">Hecho</t>
        </is>
      </c>
      <c r="G14" s="19" t="n">
        <v>46302</v>
      </c>
      <c r="H14" s="5" t="s">
        <v>357</v>
      </c>
      <c r="J14" s="4" t="n">
        <v>3</v>
      </c>
      <c r="K14" s="20" t="n">
        <v>46344</v>
      </c>
      <c r="L14" s="21" t="n">
        <f aca="false">$B$7*(10-J14)/9</f>
        <v>19.4444444444444</v>
      </c>
      <c r="M14" s="6"/>
      <c r="N14" s="4" t="n">
        <f aca="false">$B$7-SUMIFS($D$12:$D$18,$F$12:$F$18,"Hecho",$G$12:$G$18,"&lt;="&amp;K14)</f>
        <v>25</v>
      </c>
    </row>
    <row r="15" customFormat="false" ht="22.35" hidden="false" customHeight="false" outlineLevel="0" collapsed="false">
      <c r="A15" s="4" t="s">
        <v>358</v>
      </c>
      <c r="B15" s="5" t="s">
        <v>359</v>
      </c>
      <c r="C15" s="4" t="s">
        <v>77</v>
      </c>
      <c r="D15" s="4" t="n">
        <v>3</v>
      </c>
      <c r="E15" s="17" t="inlineStr">
        <is>
          <t xml:space="preserve">Álvaro Jaña</t>
        </is>
      </c>
      <c r="F15" s="6" t="inlineStr">
        <is>
          <t xml:space="preserve">Hecho</t>
        </is>
      </c>
      <c r="G15" s="19" t="n">
        <v>46302</v>
      </c>
      <c r="H15" s="5" t="s">
        <v>360</v>
      </c>
      <c r="J15" s="4" t="n">
        <v>4</v>
      </c>
      <c r="K15" s="20" t="n">
        <v>46345</v>
      </c>
      <c r="L15" s="21" t="n">
        <f aca="false">$B$7*(10-J15)/9</f>
        <v>16.6666666666667</v>
      </c>
      <c r="M15" s="6"/>
      <c r="N15" s="4" t="n">
        <f aca="false">$B$7-SUMIFS($D$12:$D$18,$F$12:$F$18,"Hecho",$G$12:$G$18,"&lt;="&amp;K15)</f>
        <v>25</v>
      </c>
    </row>
    <row r="16" customFormat="false" ht="22.35" hidden="false" customHeight="false" outlineLevel="0" collapsed="false">
      <c r="A16" s="4" t="s">
        <v>361</v>
      </c>
      <c r="B16" s="5" t="s">
        <v>362</v>
      </c>
      <c r="C16" s="4" t="s">
        <v>77</v>
      </c>
      <c r="D16" s="4" t="n">
        <v>5</v>
      </c>
      <c r="E16" s="17" t="inlineStr">
        <is>
          <t xml:space="preserve">Álvaro Jaña</t>
        </is>
      </c>
      <c r="F16" s="6" t="inlineStr">
        <is>
          <t xml:space="preserve">Hecho</t>
        </is>
      </c>
      <c r="G16" s="19" t="n">
        <v>46302</v>
      </c>
      <c r="H16" s="5" t="s">
        <v>363</v>
      </c>
      <c r="J16" s="4" t="n">
        <v>5</v>
      </c>
      <c r="K16" s="20" t="n">
        <v>46346</v>
      </c>
      <c r="L16" s="21" t="n">
        <f aca="false">$B$7*(10-J16)/9</f>
        <v>13.8888888888889</v>
      </c>
      <c r="M16" s="6"/>
      <c r="N16" s="4" t="n">
        <f aca="false">$B$7-SUMIFS($D$12:$D$18,$F$12:$F$18,"Hecho",$G$12:$G$18,"&lt;="&amp;K16)</f>
        <v>25</v>
      </c>
    </row>
    <row r="17" customFormat="false" ht="22.35" hidden="false" customHeight="false" outlineLevel="0" collapsed="false">
      <c r="A17" s="4" t="s">
        <v>364</v>
      </c>
      <c r="B17" s="5" t="s">
        <v>365</v>
      </c>
      <c r="C17" s="4" t="s">
        <v>366</v>
      </c>
      <c r="D17" s="4" t="n">
        <v>1</v>
      </c>
      <c r="E17" s="17" t="inlineStr">
        <is>
          <t xml:space="preserve">Álvaro Jaña</t>
        </is>
      </c>
      <c r="F17" s="6" t="inlineStr">
        <is>
          <t xml:space="preserve">Hecho</t>
        </is>
      </c>
      <c r="G17" s="19" t="n">
        <v>46302</v>
      </c>
      <c r="H17" s="5" t="s">
        <v>367</v>
      </c>
      <c r="J17" s="4" t="n">
        <v>6</v>
      </c>
      <c r="K17" s="20" t="n">
        <v>46349</v>
      </c>
      <c r="L17" s="21" t="n">
        <f aca="false">$B$7*(10-J17)/9</f>
        <v>11.1111111111111</v>
      </c>
      <c r="M17" s="6"/>
      <c r="N17" s="4" t="n">
        <f aca="false">$B$7-SUMIFS($D$12:$D$18,$F$12:$F$18,"Hecho",$G$12:$G$18,"&lt;="&amp;K17)</f>
        <v>25</v>
      </c>
    </row>
    <row r="18" customFormat="false" ht="32.8" hidden="false" customHeight="false" outlineLevel="0" collapsed="false">
      <c r="A18" s="4" t="s">
        <v>368</v>
      </c>
      <c r="B18" s="5" t="s">
        <v>369</v>
      </c>
      <c r="C18" s="4" t="s">
        <v>366</v>
      </c>
      <c r="D18" s="4" t="n">
        <v>1</v>
      </c>
      <c r="E18" s="17" t="inlineStr">
        <is>
          <t xml:space="preserve">Álvaro Jaña</t>
        </is>
      </c>
      <c r="F18" s="6" t="inlineStr">
        <is>
          <t xml:space="preserve">Hecho</t>
        </is>
      </c>
      <c r="G18" s="19" t="n">
        <v>46302</v>
      </c>
      <c r="H18" s="5" t="s">
        <v>370</v>
      </c>
      <c r="J18" s="4" t="n">
        <v>7</v>
      </c>
      <c r="K18" s="20" t="n">
        <v>46350</v>
      </c>
      <c r="L18" s="21" t="n">
        <f aca="false">$B$7*(10-J18)/9</f>
        <v>8.33333333333333</v>
      </c>
      <c r="M18" s="6"/>
      <c r="N18" s="4" t="n">
        <f aca="false">$B$7-SUMIFS($D$12:$D$18,$F$12:$F$18,"Hecho",$G$12:$G$18,"&lt;="&amp;K18)</f>
        <v>25</v>
      </c>
    </row>
    <row r="19" customFormat="false" ht="15" hidden="false" customHeight="false" outlineLevel="0" collapsed="false">
      <c r="J19" s="4" t="n">
        <v>8</v>
      </c>
      <c r="K19" s="20" t="n">
        <v>46351</v>
      </c>
      <c r="L19" s="21" t="n">
        <f aca="false">$B$7*(10-J19)/9</f>
        <v>5.55555555555556</v>
      </c>
      <c r="M19" s="6"/>
      <c r="N19" s="4" t="n">
        <f aca="false">$B$7-SUMIFS($D$12:$D$18,$F$12:$F$18,"Hecho",$G$12:$G$18,"&lt;="&amp;K19)</f>
        <v>25</v>
      </c>
    </row>
    <row r="20" customFormat="false" ht="15" hidden="false" customHeight="false" outlineLevel="0" collapsed="false">
      <c r="A20" s="15" t="s">
        <v>82</v>
      </c>
      <c r="J20" s="4" t="n">
        <v>9</v>
      </c>
      <c r="K20" s="20" t="n">
        <v>46352</v>
      </c>
      <c r="L20" s="21" t="n">
        <f aca="false">$B$7*(10-J20)/9</f>
        <v>2.77777777777778</v>
      </c>
      <c r="M20" s="6"/>
      <c r="N20" s="4" t="n">
        <f aca="false">$B$7-SUMIFS($D$12:$D$18,$F$12:$F$18,"Hecho",$G$12:$G$18,"&lt;="&amp;K20)</f>
        <v>25</v>
      </c>
    </row>
    <row r="21" customFormat="false" ht="23.85" hidden="false" customHeight="false" outlineLevel="0" collapsed="false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59</v>
      </c>
      <c r="F21" s="3" t="s">
        <v>6</v>
      </c>
      <c r="G21" s="3" t="s">
        <v>87</v>
      </c>
      <c r="H21" s="3" t="s">
        <v>88</v>
      </c>
      <c r="J21" s="4" t="n">
        <v>10</v>
      </c>
      <c r="K21" s="20" t="n">
        <v>46353</v>
      </c>
      <c r="L21" s="21" t="n">
        <f aca="false">$B$7*(10-J21)/9</f>
        <v>0</v>
      </c>
      <c r="M21" s="6"/>
      <c r="N21" s="4" t="n">
        <f aca="false">$B$7-SUMIFS($D$12:$D$18,$F$12:$F$18,"Hecho",$G$12:$G$18,"&lt;="&amp;K21)</f>
        <v>25</v>
      </c>
    </row>
    <row r="22" customFormat="false" ht="15" hidden="false" customHeight="false" outlineLevel="0" collapsed="false">
      <c r="A22" s="4" t="s">
        <v>371</v>
      </c>
      <c r="B22" s="17"/>
      <c r="C22" s="6"/>
      <c r="D22" s="6"/>
      <c r="E22" s="17"/>
      <c r="F22" s="6"/>
      <c r="G22" s="19"/>
      <c r="H22" s="17"/>
      <c r="J22" s="2" t="s">
        <v>210</v>
      </c>
    </row>
    <row r="23" customFormat="false" ht="15" hidden="false" customHeight="false" outlineLevel="0" collapsed="false">
      <c r="A23" s="4" t="s">
        <v>372</v>
      </c>
      <c r="B23" s="17"/>
      <c r="C23" s="6"/>
      <c r="D23" s="6"/>
      <c r="E23" s="17"/>
      <c r="F23" s="6"/>
      <c r="G23" s="19"/>
      <c r="H23" s="17"/>
    </row>
    <row r="24" customFormat="false" ht="15" hidden="false" customHeight="false" outlineLevel="0" collapsed="false">
      <c r="A24" s="4" t="s">
        <v>373</v>
      </c>
      <c r="B24" s="17"/>
      <c r="C24" s="6"/>
      <c r="D24" s="6"/>
      <c r="E24" s="17"/>
      <c r="F24" s="6"/>
      <c r="G24" s="19"/>
      <c r="H24" s="17"/>
    </row>
    <row r="25" customFormat="false" ht="15" hidden="false" customHeight="false" outlineLevel="0" collapsed="false">
      <c r="A25" s="4" t="s">
        <v>374</v>
      </c>
      <c r="B25" s="17"/>
      <c r="C25" s="6"/>
      <c r="D25" s="6"/>
      <c r="E25" s="17"/>
      <c r="F25" s="6"/>
      <c r="G25" s="19"/>
      <c r="H25" s="17"/>
    </row>
    <row r="26" customFormat="false" ht="15" hidden="false" customHeight="false" outlineLevel="0" collapsed="false">
      <c r="A26" s="4" t="s">
        <v>375</v>
      </c>
      <c r="B26" s="17"/>
      <c r="C26" s="6"/>
      <c r="D26" s="6"/>
      <c r="E26" s="17"/>
      <c r="F26" s="6"/>
      <c r="G26" s="19"/>
      <c r="H26" s="17"/>
    </row>
    <row r="27" customFormat="false" ht="15" hidden="false" customHeight="false" outlineLevel="0" collapsed="false">
      <c r="A27" s="4" t="s">
        <v>376</v>
      </c>
      <c r="B27" s="17"/>
      <c r="C27" s="6"/>
      <c r="D27" s="6"/>
      <c r="E27" s="17"/>
      <c r="F27" s="6"/>
      <c r="G27" s="19"/>
      <c r="H27" s="17"/>
    </row>
    <row r="28" customFormat="false" ht="15" hidden="false" customHeight="false" outlineLevel="0" collapsed="false">
      <c r="A28" s="4" t="s">
        <v>377</v>
      </c>
      <c r="B28" s="17"/>
      <c r="C28" s="6"/>
      <c r="D28" s="6"/>
      <c r="E28" s="17"/>
      <c r="F28" s="6"/>
      <c r="G28" s="19"/>
      <c r="H28" s="17"/>
    </row>
    <row r="29" customFormat="false" ht="15" hidden="false" customHeight="false" outlineLevel="0" collapsed="false">
      <c r="A29" s="4" t="s">
        <v>378</v>
      </c>
      <c r="B29" s="17"/>
      <c r="C29" s="6"/>
      <c r="D29" s="6"/>
      <c r="E29" s="17"/>
      <c r="F29" s="6"/>
      <c r="G29" s="19"/>
      <c r="H29" s="17"/>
    </row>
    <row r="30" customFormat="false" ht="15" hidden="false" customHeight="false" outlineLevel="0" collapsed="false">
      <c r="A30" s="4" t="s">
        <v>379</v>
      </c>
      <c r="B30" s="17"/>
      <c r="C30" s="6"/>
      <c r="D30" s="6"/>
      <c r="E30" s="17"/>
      <c r="F30" s="6"/>
      <c r="G30" s="19"/>
      <c r="H30" s="17"/>
    </row>
    <row r="31" customFormat="false" ht="15" hidden="false" customHeight="false" outlineLevel="0" collapsed="false">
      <c r="A31" s="4" t="s">
        <v>380</v>
      </c>
      <c r="B31" s="17"/>
      <c r="C31" s="6"/>
      <c r="D31" s="6"/>
      <c r="E31" s="17"/>
      <c r="F31" s="6"/>
      <c r="G31" s="19"/>
      <c r="H31" s="17"/>
    </row>
    <row r="32" customFormat="false" ht="15" hidden="false" customHeight="false" outlineLevel="0" collapsed="false">
      <c r="A32" s="4" t="s">
        <v>381</v>
      </c>
      <c r="B32" s="17"/>
      <c r="C32" s="6"/>
      <c r="D32" s="6"/>
      <c r="E32" s="17"/>
      <c r="F32" s="6"/>
      <c r="G32" s="19"/>
      <c r="H32" s="17"/>
    </row>
    <row r="33" customFormat="false" ht="15" hidden="false" customHeight="false" outlineLevel="0" collapsed="false">
      <c r="A33" s="4" t="s">
        <v>382</v>
      </c>
      <c r="B33" s="17"/>
      <c r="C33" s="6"/>
      <c r="D33" s="6"/>
      <c r="E33" s="17"/>
      <c r="F33" s="6"/>
      <c r="G33" s="19"/>
      <c r="H33" s="17"/>
    </row>
    <row r="35" customFormat="false" ht="15" hidden="false" customHeight="false" outlineLevel="0" collapsed="false">
      <c r="A35" s="2" t="s">
        <v>305</v>
      </c>
    </row>
  </sheetData>
  <mergeCells count="7">
    <mergeCell ref="B3:H3"/>
    <mergeCell ref="B4:H4"/>
    <mergeCell ref="B5:H5"/>
    <mergeCell ref="B6:H6"/>
    <mergeCell ref="B7:H7"/>
    <mergeCell ref="B8:H8"/>
    <mergeCell ref="B9:H9"/>
  </mergeCells>
  <conditionalFormatting sqref="F12:F18">
    <cfRule type="expression" priority="2" aboveAverage="0" equalAverage="0" bottom="0" percent="0" rank="0" text="" dxfId="0">
      <formula>$F12="Hecho"</formula>
    </cfRule>
  </conditionalFormatting>
  <conditionalFormatting sqref="F22:F43">
    <cfRule type="expression" priority="3" aboveAverage="0" equalAverage="0" bottom="0" percent="0" rank="0" text="" dxfId="0">
      <formula>$F22="Hecho"</formula>
    </cfRule>
    <cfRule type="expression" priority="4" aboveAverage="0" equalAverage="0" bottom="0" percent="0" rank="0" text="" dxfId="1">
      <formula>$F22="En curso"</formula>
    </cfRule>
    <cfRule type="expression" priority="5" aboveAverage="0" equalAverage="0" bottom="0" percent="0" rank="0" text="" dxfId="2">
      <formula>$F22="En revisión"</formula>
    </cfRule>
  </conditionalFormatting>
  <dataValidations count="4">
    <dataValidation allowBlank="false" errorStyle="stop" operator="between" showDropDown="false" showErrorMessage="false" showInputMessage="false" sqref="F12:F18" type="list">
      <formula1>"Por hacer,En curso,Hecho"</formula1>
      <formula2>0</formula2>
    </dataValidation>
    <dataValidation allowBlank="false" errorStyle="stop" operator="between" showDropDown="false" showErrorMessage="false" showInputMessage="false" sqref="E12:E18" type="list">
      <formula1>"Álvaro Jaña,Matías Bustamante,Vicente Torres"</formula1>
      <formula2>0</formula2>
    </dataValidation>
    <dataValidation allowBlank="false" errorStyle="stop" operator="between" showDropDown="false" showErrorMessage="false" showInputMessage="false" sqref="F22:F43" type="list">
      <formula1>"Por hacer,En curso,En revisión,Hecho"</formula1>
      <formula2>0</formula2>
    </dataValidation>
    <dataValidation allowBlank="false" errorStyle="stop" operator="between" showDropDown="false" showErrorMessage="false" showInputMessage="false" sqref="E22:E43" type="list">
      <formula1>"Álvaro Jaña,Matías Bustamante,Vicente Torres"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383</v>
      </c>
    </row>
    <row r="3" customFormat="false" ht="15" hidden="false" customHeight="true" outlineLevel="0" collapsed="false">
      <c r="A3" s="12" t="s">
        <v>3</v>
      </c>
      <c r="B3" s="13" t="s">
        <v>38</v>
      </c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12" t="s">
        <v>4</v>
      </c>
      <c r="B4" s="13" t="s">
        <v>384</v>
      </c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A5" s="12" t="s">
        <v>50</v>
      </c>
      <c r="B5" s="13" t="s">
        <v>40</v>
      </c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2" t="s">
        <v>51</v>
      </c>
      <c r="B6" s="13" t="s">
        <v>45</v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2" t="s">
        <v>8</v>
      </c>
      <c r="B7" s="13" t="n">
        <f aca="false">SUM(D12:D18)</f>
        <v>20</v>
      </c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2" t="s">
        <v>9</v>
      </c>
      <c r="B8" s="13" t="n">
        <f aca="false">SUMIF(F12:F18,"Hecho",D12:D18)</f>
        <v>0</v>
      </c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2" t="s">
        <v>10</v>
      </c>
      <c r="B9" s="14" t="n">
        <f aca="false">IF(B7=0,0,B8/B7)</f>
        <v>0</v>
      </c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5" t="s">
        <v>53</v>
      </c>
      <c r="J10" s="15" t="s">
        <v>184</v>
      </c>
    </row>
    <row r="11" customFormat="false" ht="23.85" hidden="false" customHeight="fals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</v>
      </c>
      <c r="G11" s="3" t="s">
        <v>60</v>
      </c>
      <c r="H11" s="3" t="s">
        <v>61</v>
      </c>
      <c r="J11" s="3" t="s">
        <v>185</v>
      </c>
      <c r="K11" s="3" t="s">
        <v>87</v>
      </c>
      <c r="L11" s="3" t="s">
        <v>186</v>
      </c>
      <c r="M11" s="3" t="s">
        <v>187</v>
      </c>
      <c r="N11" s="3" t="s">
        <v>188</v>
      </c>
    </row>
    <row r="12" customFormat="false" ht="22.35" hidden="false" customHeight="false" outlineLevel="0" collapsed="false">
      <c r="A12" s="4" t="s">
        <v>385</v>
      </c>
      <c r="B12" s="5" t="s">
        <v>386</v>
      </c>
      <c r="C12" s="4" t="s">
        <v>65</v>
      </c>
      <c r="D12" s="4" t="n">
        <v>5</v>
      </c>
      <c r="E12" s="17"/>
      <c r="F12" s="6" t="s">
        <v>214</v>
      </c>
      <c r="G12" s="19"/>
      <c r="H12" s="5" t="s">
        <v>387</v>
      </c>
      <c r="J12" s="4" t="n">
        <v>1</v>
      </c>
      <c r="K12" s="20" t="n">
        <v>46356</v>
      </c>
      <c r="L12" s="21" t="n">
        <f aca="false">$B$7*(14-J12)/13</f>
        <v>20</v>
      </c>
      <c r="M12" s="6"/>
      <c r="N12" s="4" t="n">
        <f aca="false">$B$7-SUMIFS($D$12:$D$18,$F$12:$F$18,"Hecho",$G$12:$G$18,"&lt;="&amp;K12)</f>
        <v>20</v>
      </c>
    </row>
    <row r="13" customFormat="false" ht="22.35" hidden="false" customHeight="false" outlineLevel="0" collapsed="false">
      <c r="A13" s="4" t="s">
        <v>388</v>
      </c>
      <c r="B13" s="5" t="s">
        <v>389</v>
      </c>
      <c r="C13" s="4" t="s">
        <v>65</v>
      </c>
      <c r="D13" s="4" t="n">
        <v>5</v>
      </c>
      <c r="E13" s="17"/>
      <c r="F13" s="6" t="s">
        <v>214</v>
      </c>
      <c r="G13" s="19"/>
      <c r="H13" s="5" t="s">
        <v>390</v>
      </c>
      <c r="J13" s="4" t="n">
        <v>2</v>
      </c>
      <c r="K13" s="20" t="n">
        <v>46357</v>
      </c>
      <c r="L13" s="21" t="n">
        <f aca="false">$B$7*(14-J13)/13</f>
        <v>18.4615384615385</v>
      </c>
      <c r="M13" s="6"/>
      <c r="N13" s="4" t="n">
        <f aca="false">$B$7-SUMIFS($D$12:$D$18,$F$12:$F$18,"Hecho",$G$12:$G$18,"&lt;="&amp;K13)</f>
        <v>20</v>
      </c>
    </row>
    <row r="14" customFormat="false" ht="22.35" hidden="false" customHeight="false" outlineLevel="0" collapsed="false">
      <c r="A14" s="4" t="s">
        <v>391</v>
      </c>
      <c r="B14" s="5" t="s">
        <v>392</v>
      </c>
      <c r="C14" s="4" t="s">
        <v>77</v>
      </c>
      <c r="D14" s="4" t="n">
        <v>3</v>
      </c>
      <c r="E14" s="17" t="inlineStr">
        <is>
          <t xml:space="preserve">Álvaro Jaña</t>
        </is>
      </c>
      <c r="F14" s="6" t="inlineStr">
        <is>
          <t xml:space="preserve">Hecho</t>
        </is>
      </c>
      <c r="G14" s="19" t="n">
        <v>46302</v>
      </c>
      <c r="H14" s="5" t="s">
        <v>393</v>
      </c>
      <c r="J14" s="4" t="n">
        <v>3</v>
      </c>
      <c r="K14" s="20" t="n">
        <v>46358</v>
      </c>
      <c r="L14" s="21" t="n">
        <f aca="false">$B$7*(14-J14)/13</f>
        <v>16.9230769230769</v>
      </c>
      <c r="M14" s="6"/>
      <c r="N14" s="4" t="n">
        <f aca="false">$B$7-SUMIFS($D$12:$D$18,$F$12:$F$18,"Hecho",$G$12:$G$18,"&lt;="&amp;K14)</f>
        <v>20</v>
      </c>
    </row>
    <row r="15" customFormat="false" ht="32.8" hidden="false" customHeight="false" outlineLevel="0" collapsed="false">
      <c r="A15" s="4" t="s">
        <v>394</v>
      </c>
      <c r="B15" s="5" t="s">
        <v>395</v>
      </c>
      <c r="C15" s="4" t="s">
        <v>77</v>
      </c>
      <c r="D15" s="4" t="n">
        <v>3</v>
      </c>
      <c r="E15" s="17" t="inlineStr">
        <is>
          <t xml:space="preserve">Álvaro Jaña</t>
        </is>
      </c>
      <c r="F15" s="6" t="inlineStr">
        <is>
          <t xml:space="preserve">Hecho</t>
        </is>
      </c>
      <c r="G15" s="19" t="n">
        <v>46302</v>
      </c>
      <c r="H15" s="5" t="s">
        <v>396</v>
      </c>
      <c r="J15" s="4" t="n">
        <v>4</v>
      </c>
      <c r="K15" s="20" t="n">
        <v>46359</v>
      </c>
      <c r="L15" s="21" t="n">
        <f aca="false">$B$7*(14-J15)/13</f>
        <v>15.3846153846154</v>
      </c>
      <c r="M15" s="6"/>
      <c r="N15" s="4" t="n">
        <f aca="false">$B$7-SUMIFS($D$12:$D$18,$F$12:$F$18,"Hecho",$G$12:$G$18,"&lt;="&amp;K15)</f>
        <v>20</v>
      </c>
    </row>
    <row r="16" customFormat="false" ht="22.35" hidden="false" customHeight="false" outlineLevel="0" collapsed="false">
      <c r="A16" s="4" t="s">
        <v>397</v>
      </c>
      <c r="B16" s="5" t="s">
        <v>398</v>
      </c>
      <c r="C16" s="4" t="s">
        <v>77</v>
      </c>
      <c r="D16" s="4" t="n">
        <v>2</v>
      </c>
      <c r="E16" s="17" t="inlineStr">
        <is>
          <t xml:space="preserve">Vicente Torres y Álvaro Jaña</t>
        </is>
      </c>
      <c r="F16" s="6" t="inlineStr">
        <is>
          <t xml:space="preserve">Hecho</t>
        </is>
      </c>
      <c r="G16" s="19" t="n">
        <v>46302</v>
      </c>
      <c r="H16" s="5" t="s">
        <v>399</v>
      </c>
      <c r="J16" s="4" t="n">
        <v>5</v>
      </c>
      <c r="K16" s="20" t="n">
        <v>46360</v>
      </c>
      <c r="L16" s="21" t="n">
        <f aca="false">$B$7*(14-J16)/13</f>
        <v>13.8461538461538</v>
      </c>
      <c r="M16" s="6"/>
      <c r="N16" s="4" t="n">
        <f aca="false">$B$7-SUMIFS($D$12:$D$18,$F$12:$F$18,"Hecho",$G$12:$G$18,"&lt;="&amp;K16)</f>
        <v>20</v>
      </c>
    </row>
    <row r="17" customFormat="false" ht="22.35" hidden="false" customHeight="false" outlineLevel="0" collapsed="false">
      <c r="A17" s="4" t="s">
        <v>400</v>
      </c>
      <c r="B17" s="5" t="s">
        <v>401</v>
      </c>
      <c r="C17" s="4" t="s">
        <v>366</v>
      </c>
      <c r="D17" s="4" t="n">
        <v>1</v>
      </c>
      <c r="E17" s="17"/>
      <c r="F17" s="6" t="s">
        <v>214</v>
      </c>
      <c r="G17" s="19"/>
      <c r="H17" s="5" t="s">
        <v>402</v>
      </c>
      <c r="J17" s="4" t="n">
        <v>6</v>
      </c>
      <c r="K17" s="20" t="n">
        <v>46363</v>
      </c>
      <c r="L17" s="21" t="n">
        <f aca="false">$B$7*(14-J17)/13</f>
        <v>12.3076923076923</v>
      </c>
      <c r="M17" s="6"/>
      <c r="N17" s="4" t="n">
        <f aca="false">$B$7-SUMIFS($D$12:$D$18,$F$12:$F$18,"Hecho",$G$12:$G$18,"&lt;="&amp;K17)</f>
        <v>20</v>
      </c>
    </row>
    <row r="18" customFormat="false" ht="22.35" hidden="false" customHeight="false" outlineLevel="0" collapsed="false">
      <c r="A18" s="4" t="s">
        <v>403</v>
      </c>
      <c r="B18" s="5" t="s">
        <v>404</v>
      </c>
      <c r="C18" s="4" t="s">
        <v>366</v>
      </c>
      <c r="D18" s="4" t="n">
        <v>1</v>
      </c>
      <c r="E18" s="17"/>
      <c r="F18" s="6" t="s">
        <v>214</v>
      </c>
      <c r="G18" s="19"/>
      <c r="H18" s="5" t="s">
        <v>405</v>
      </c>
      <c r="J18" s="4" t="n">
        <v>7</v>
      </c>
      <c r="K18" s="20" t="n">
        <v>46365</v>
      </c>
      <c r="L18" s="21" t="n">
        <f aca="false">$B$7*(14-J18)/13</f>
        <v>10.7692307692308</v>
      </c>
      <c r="M18" s="6"/>
      <c r="N18" s="4" t="n">
        <f aca="false">$B$7-SUMIFS($D$12:$D$18,$F$12:$F$18,"Hecho",$G$12:$G$18,"&lt;="&amp;K18)</f>
        <v>20</v>
      </c>
    </row>
    <row r="19" customFormat="false" ht="15" hidden="false" customHeight="false" outlineLevel="0" collapsed="false">
      <c r="J19" s="4" t="n">
        <v>8</v>
      </c>
      <c r="K19" s="20" t="n">
        <v>46366</v>
      </c>
      <c r="L19" s="21" t="n">
        <f aca="false">$B$7*(14-J19)/13</f>
        <v>9.23076923076923</v>
      </c>
      <c r="M19" s="6"/>
      <c r="N19" s="4" t="n">
        <f aca="false">$B$7-SUMIFS($D$12:$D$18,$F$12:$F$18,"Hecho",$G$12:$G$18,"&lt;="&amp;K19)</f>
        <v>20</v>
      </c>
    </row>
    <row r="20" customFormat="false" ht="15" hidden="false" customHeight="false" outlineLevel="0" collapsed="false">
      <c r="A20" s="15" t="s">
        <v>82</v>
      </c>
      <c r="J20" s="4" t="n">
        <v>9</v>
      </c>
      <c r="K20" s="20" t="n">
        <v>46367</v>
      </c>
      <c r="L20" s="21" t="n">
        <f aca="false">$B$7*(14-J20)/13</f>
        <v>7.69230769230769</v>
      </c>
      <c r="M20" s="6"/>
      <c r="N20" s="4" t="n">
        <f aca="false">$B$7-SUMIFS($D$12:$D$18,$F$12:$F$18,"Hecho",$G$12:$G$18,"&lt;="&amp;K20)</f>
        <v>20</v>
      </c>
    </row>
    <row r="21" customFormat="false" ht="23.85" hidden="false" customHeight="false" outlineLevel="0" collapsed="false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59</v>
      </c>
      <c r="F21" s="3" t="s">
        <v>6</v>
      </c>
      <c r="G21" s="3" t="s">
        <v>87</v>
      </c>
      <c r="H21" s="3" t="s">
        <v>88</v>
      </c>
      <c r="J21" s="4" t="n">
        <v>10</v>
      </c>
      <c r="K21" s="20" t="n">
        <v>46370</v>
      </c>
      <c r="L21" s="21" t="n">
        <f aca="false">$B$7*(14-J21)/13</f>
        <v>6.15384615384615</v>
      </c>
      <c r="M21" s="6"/>
      <c r="N21" s="4" t="n">
        <f aca="false">$B$7-SUMIFS($D$12:$D$18,$F$12:$F$18,"Hecho",$G$12:$G$18,"&lt;="&amp;K21)</f>
        <v>20</v>
      </c>
    </row>
    <row r="22" customFormat="false" ht="15" hidden="false" customHeight="false" outlineLevel="0" collapsed="false">
      <c r="A22" s="4" t="s">
        <v>406</v>
      </c>
      <c r="B22" s="17"/>
      <c r="C22" s="6"/>
      <c r="D22" s="6"/>
      <c r="E22" s="17"/>
      <c r="F22" s="6"/>
      <c r="G22" s="19"/>
      <c r="H22" s="17"/>
      <c r="J22" s="4" t="n">
        <v>11</v>
      </c>
      <c r="K22" s="20" t="n">
        <v>46371</v>
      </c>
      <c r="L22" s="21" t="n">
        <f aca="false">$B$7*(14-J22)/13</f>
        <v>4.61538461538462</v>
      </c>
      <c r="M22" s="6"/>
      <c r="N22" s="4" t="n">
        <f aca="false">$B$7-SUMIFS($D$12:$D$18,$F$12:$F$18,"Hecho",$G$12:$G$18,"&lt;="&amp;K22)</f>
        <v>20</v>
      </c>
    </row>
    <row r="23" customFormat="false" ht="15" hidden="false" customHeight="false" outlineLevel="0" collapsed="false">
      <c r="A23" s="4" t="s">
        <v>407</v>
      </c>
      <c r="B23" s="17"/>
      <c r="C23" s="6"/>
      <c r="D23" s="6"/>
      <c r="E23" s="17"/>
      <c r="F23" s="6"/>
      <c r="G23" s="19"/>
      <c r="H23" s="17"/>
      <c r="J23" s="4" t="n">
        <v>12</v>
      </c>
      <c r="K23" s="20" t="n">
        <v>46372</v>
      </c>
      <c r="L23" s="21" t="n">
        <f aca="false">$B$7*(14-J23)/13</f>
        <v>3.07692307692308</v>
      </c>
      <c r="M23" s="6"/>
      <c r="N23" s="4" t="n">
        <f aca="false">$B$7-SUMIFS($D$12:$D$18,$F$12:$F$18,"Hecho",$G$12:$G$18,"&lt;="&amp;K23)</f>
        <v>20</v>
      </c>
    </row>
    <row r="24" customFormat="false" ht="15" hidden="false" customHeight="false" outlineLevel="0" collapsed="false">
      <c r="A24" s="4" t="s">
        <v>408</v>
      </c>
      <c r="B24" s="17"/>
      <c r="C24" s="6"/>
      <c r="D24" s="6"/>
      <c r="E24" s="17"/>
      <c r="F24" s="6"/>
      <c r="G24" s="19"/>
      <c r="H24" s="17"/>
      <c r="J24" s="4" t="n">
        <v>13</v>
      </c>
      <c r="K24" s="20" t="n">
        <v>46373</v>
      </c>
      <c r="L24" s="21" t="n">
        <f aca="false">$B$7*(14-J24)/13</f>
        <v>1.53846153846154</v>
      </c>
      <c r="M24" s="6"/>
      <c r="N24" s="4" t="n">
        <f aca="false">$B$7-SUMIFS($D$12:$D$18,$F$12:$F$18,"Hecho",$G$12:$G$18,"&lt;="&amp;K24)</f>
        <v>20</v>
      </c>
    </row>
    <row r="25" customFormat="false" ht="15" hidden="false" customHeight="false" outlineLevel="0" collapsed="false">
      <c r="A25" s="4" t="s">
        <v>409</v>
      </c>
      <c r="B25" s="17"/>
      <c r="C25" s="6"/>
      <c r="D25" s="6"/>
      <c r="E25" s="17"/>
      <c r="F25" s="6"/>
      <c r="G25" s="19"/>
      <c r="H25" s="17"/>
      <c r="J25" s="4" t="n">
        <v>14</v>
      </c>
      <c r="K25" s="20" t="n">
        <v>46374</v>
      </c>
      <c r="L25" s="21" t="n">
        <f aca="false">$B$7*(14-J25)/13</f>
        <v>0</v>
      </c>
      <c r="M25" s="6"/>
      <c r="N25" s="4" t="n">
        <f aca="false">$B$7-SUMIFS($D$12:$D$18,$F$12:$F$18,"Hecho",$G$12:$G$18,"&lt;="&amp;K25)</f>
        <v>20</v>
      </c>
    </row>
    <row r="26" customFormat="false" ht="15" hidden="false" customHeight="false" outlineLevel="0" collapsed="false">
      <c r="A26" s="4" t="s">
        <v>410</v>
      </c>
      <c r="B26" s="17"/>
      <c r="C26" s="6"/>
      <c r="D26" s="6"/>
      <c r="E26" s="17"/>
      <c r="F26" s="6"/>
      <c r="G26" s="19"/>
      <c r="H26" s="17"/>
      <c r="J26" s="2" t="s">
        <v>210</v>
      </c>
    </row>
    <row r="27" customFormat="false" ht="15" hidden="false" customHeight="false" outlineLevel="0" collapsed="false">
      <c r="A27" s="4" t="s">
        <v>411</v>
      </c>
      <c r="B27" s="17"/>
      <c r="C27" s="6"/>
      <c r="D27" s="6"/>
      <c r="E27" s="17"/>
      <c r="F27" s="6"/>
      <c r="G27" s="19"/>
      <c r="H27" s="17"/>
    </row>
    <row r="28" customFormat="false" ht="15" hidden="false" customHeight="false" outlineLevel="0" collapsed="false">
      <c r="A28" s="4" t="s">
        <v>412</v>
      </c>
      <c r="B28" s="17"/>
      <c r="C28" s="6"/>
      <c r="D28" s="6"/>
      <c r="E28" s="17"/>
      <c r="F28" s="6"/>
      <c r="G28" s="19"/>
      <c r="H28" s="17"/>
    </row>
    <row r="29" customFormat="false" ht="15" hidden="false" customHeight="false" outlineLevel="0" collapsed="false">
      <c r="A29" s="4" t="s">
        <v>413</v>
      </c>
      <c r="B29" s="17"/>
      <c r="C29" s="6"/>
      <c r="D29" s="6"/>
      <c r="E29" s="17"/>
      <c r="F29" s="6"/>
      <c r="G29" s="19"/>
      <c r="H29" s="17"/>
    </row>
    <row r="30" customFormat="false" ht="15" hidden="false" customHeight="false" outlineLevel="0" collapsed="false">
      <c r="A30" s="4" t="s">
        <v>414</v>
      </c>
      <c r="B30" s="17"/>
      <c r="C30" s="6"/>
      <c r="D30" s="6"/>
      <c r="E30" s="17"/>
      <c r="F30" s="6"/>
      <c r="G30" s="19"/>
      <c r="H30" s="17"/>
    </row>
    <row r="31" customFormat="false" ht="15" hidden="false" customHeight="false" outlineLevel="0" collapsed="false">
      <c r="A31" s="4" t="s">
        <v>415</v>
      </c>
      <c r="B31" s="17"/>
      <c r="C31" s="6"/>
      <c r="D31" s="6"/>
      <c r="E31" s="17"/>
      <c r="F31" s="6"/>
      <c r="G31" s="19"/>
      <c r="H31" s="17"/>
    </row>
    <row r="32" customFormat="false" ht="15" hidden="false" customHeight="false" outlineLevel="0" collapsed="false">
      <c r="A32" s="4" t="s">
        <v>416</v>
      </c>
      <c r="B32" s="17"/>
      <c r="C32" s="6"/>
      <c r="D32" s="6"/>
      <c r="E32" s="17"/>
      <c r="F32" s="6"/>
      <c r="G32" s="19"/>
      <c r="H32" s="17"/>
    </row>
    <row r="33" customFormat="false" ht="15" hidden="false" customHeight="false" outlineLevel="0" collapsed="false">
      <c r="A33" s="4" t="s">
        <v>417</v>
      </c>
      <c r="B33" s="17"/>
      <c r="C33" s="6"/>
      <c r="D33" s="6"/>
      <c r="E33" s="17"/>
      <c r="F33" s="6"/>
      <c r="G33" s="19"/>
      <c r="H33" s="17"/>
    </row>
    <row r="35" customFormat="false" ht="15" hidden="false" customHeight="false" outlineLevel="0" collapsed="false">
      <c r="A35" s="2" t="s">
        <v>305</v>
      </c>
    </row>
  </sheetData>
  <mergeCells count="7">
    <mergeCell ref="B3:H3"/>
    <mergeCell ref="B4:H4"/>
    <mergeCell ref="B5:H5"/>
    <mergeCell ref="B6:H6"/>
    <mergeCell ref="B7:H7"/>
    <mergeCell ref="B8:H8"/>
    <mergeCell ref="B9:H9"/>
  </mergeCells>
  <conditionalFormatting sqref="F12:F18">
    <cfRule type="expression" priority="2" aboveAverage="0" equalAverage="0" bottom="0" percent="0" rank="0" text="" dxfId="0">
      <formula>$F12="Hecho"</formula>
    </cfRule>
  </conditionalFormatting>
  <conditionalFormatting sqref="F22:F43">
    <cfRule type="expression" priority="3" aboveAverage="0" equalAverage="0" bottom="0" percent="0" rank="0" text="" dxfId="0">
      <formula>$F22="Hecho"</formula>
    </cfRule>
    <cfRule type="expression" priority="4" aboveAverage="0" equalAverage="0" bottom="0" percent="0" rank="0" text="" dxfId="1">
      <formula>$F22="En curso"</formula>
    </cfRule>
    <cfRule type="expression" priority="5" aboveAverage="0" equalAverage="0" bottom="0" percent="0" rank="0" text="" dxfId="2">
      <formula>$F22="En revisión"</formula>
    </cfRule>
  </conditionalFormatting>
  <dataValidations count="4">
    <dataValidation allowBlank="false" errorStyle="stop" operator="between" showDropDown="false" showErrorMessage="false" showInputMessage="false" sqref="F12:F18" type="list">
      <formula1>"Por hacer,En curso,Hecho"</formula1>
      <formula2>0</formula2>
    </dataValidation>
    <dataValidation allowBlank="false" errorStyle="stop" operator="between" showDropDown="false" showErrorMessage="false" showInputMessage="false" sqref="E12:E18" type="list">
      <formula1>"Álvaro Jaña,Matías Bustamante,Vicente Torres"</formula1>
      <formula2>0</formula2>
    </dataValidation>
    <dataValidation allowBlank="false" errorStyle="stop" operator="between" showDropDown="false" showErrorMessage="false" showInputMessage="false" sqref="F22:F43" type="list">
      <formula1>"Por hacer,En curso,En revisión,Hecho"</formula1>
      <formula2>0</formula2>
    </dataValidation>
    <dataValidation allowBlank="false" errorStyle="stop" operator="between" showDropDown="false" showErrorMessage="false" showInputMessage="false" sqref="E22:E43" type="list">
      <formula1>"Álvaro Jaña,Matías Bustamante,Vicente Torres"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2026-10-05T20:24:04Z</dcterms:created>
  <dc:creator>openpyxl</dc:creator>
  <dc:description/>
  <dc:language>en-US</dc:language>
  <cp:lastModifiedBy/>
  <dcterms:modified xsi:type="dcterms:W3CDTF">2026-10-05T17:24:07Z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