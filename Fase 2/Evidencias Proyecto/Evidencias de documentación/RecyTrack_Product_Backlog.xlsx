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Épicas" sheetId="2" state="visible" r:id="rId4"/>
    <sheet name="Resumen por sprint" sheetId="3" state="visible" r:id="rId5"/>
    <sheet name="Leyenda" sheetId="4" state="visible" r:id="rId6"/>
  </sheets>
  <definedNames>
    <definedName function="false" hidden="true" localSheetId="0" name="_xlnm._FilterDatabase" vbProcedure="false">'Product Backlog'!$A$4:$K$51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<sst xmlns="http://schemas.openxmlformats.org/spreadsheetml/2006/main" count="505" uniqueCount="286">
  <si>
    <t xml:space="preserve">RecyTrack · Product Backlog</t>
  </si>
  <si>
    <t xml:space="preserve">Ordenado por sprint y prioridad. Estado al 5 de octubre de 2026. Las columnas Prioridad, Puntos, Sprint y Estado son editables.</t>
  </si>
  <si>
    <t xml:space="preserve">ID</t>
  </si>
  <si>
    <t xml:space="preserve">Orden</t>
  </si>
  <si>
    <t xml:space="preserve">Épica</t>
  </si>
  <si>
    <t xml:space="preserve">Historia de usuario</t>
  </si>
  <si>
    <t xml:space="preserve">Criterios de aceptación</t>
  </si>
  <si>
    <t xml:space="preserve">Prioridad</t>
  </si>
  <si>
    <t xml:space="preserve">Puntos</t>
  </si>
  <si>
    <t xml:space="preserve">Sprint</t>
  </si>
  <si>
    <t xml:space="preserve">Estado</t>
  </si>
  <si>
    <t xml:space="preserve">Origen</t>
  </si>
  <si>
    <t xml:space="preserve">Observaciones</t>
  </si>
  <si>
    <t xml:space="preserve">PB-01</t>
  </si>
  <si>
    <t xml:space="preserve">E2 · Registro por QR</t>
  </si>
  <si>
    <t xml:space="preserve">Como colaborador, quiero indicar el material y la talla de la bolsa con una referencia visual, para que la app estime los kilos sin que yo pese nada.</t>
  </si>
  <si>
    <t xml:space="preserve">Si el contenedor es de un material, queda fijado. Tallas S, M, L y XL. Los kilos salen de la tabla y no se pueden escribir a mano.</t>
  </si>
  <si>
    <t xml:space="preserve">Must</t>
  </si>
  <si>
    <t xml:space="preserve">S1</t>
  </si>
  <si>
    <t xml:space="preserve">Hecho</t>
  </si>
  <si>
    <t xml:space="preserve">Informe 1.5, obj. 2</t>
  </si>
  <si>
    <t xml:space="preserve">PB-02</t>
  </si>
  <si>
    <t xml:space="preserve">Como colaborador, quiero escribir el código impreso bajo el QR cuando la cámara no lo lee, para no perder el registro.</t>
  </si>
  <si>
    <t xml:space="preserve">El código manual se valida igual que el escaneado.</t>
  </si>
  <si>
    <t xml:space="preserve">Informe 1.5, S2</t>
  </si>
  <si>
    <t xml:space="preserve">Mitiga la poca luz junto a los contenedores.</t>
  </si>
  <si>
    <t xml:space="preserve">PB-03</t>
  </si>
  <si>
    <t xml:space="preserve">Como colaborador, quiero ver el historial de mis depósitos y el estado de cada uno, para saber si fueron validados.</t>
  </si>
  <si>
    <t xml:space="preserve">Cada depósito muestra estado y fecha de cada etapa. Se agrupa por mes.</t>
  </si>
  <si>
    <t xml:space="preserve">PB-04</t>
  </si>
  <si>
    <t xml:space="preserve">E1 · Incorporación y acceso</t>
  </si>
  <si>
    <t xml:space="preserve">Como colaborador, quiero entrar con mi cuenta de Google o de Microsoft, para no tener que recordar otra contraseña.</t>
  </si>
  <si>
    <t xml:space="preserve">Los botones funcionan en la versión web e instalada. La primera vez se crea la cuenta como colaborador.</t>
  </si>
  <si>
    <t xml:space="preserve">Should</t>
  </si>
  <si>
    <t xml:space="preserve">R8</t>
  </si>
  <si>
    <t xml:space="preserve">Microsoft acepta cuentas personales y de Microsoft 365.</t>
  </si>
  <si>
    <t xml:space="preserve">PB-05</t>
  </si>
  <si>
    <t xml:space="preserve">E3 · Validación diaria</t>
  </si>
  <si>
    <t xml:space="preserve">Como colaborador, quiero recibir un aviso cuando mi depósito es validado, rechazado o certificado, para saber que mi aporte cuenta.</t>
  </si>
  <si>
    <t xml:space="preserve">El aviso aparece en la campana con contador de nuevos.</t>
  </si>
  <si>
    <t xml:space="preserve">Informe 1.5</t>
  </si>
  <si>
    <t xml:space="preserve">PB-06</t>
  </si>
  <si>
    <t xml:space="preserve">Como equipo de desarrollo, quiero el modelo de planta, áreas y contenedores con punto limpio, con las reglas del administrador de planta, para que el panel guarde la configuración de forma segura.</t>
  </si>
  <si>
    <t xml:space="preserve">Existen las colecciones de planta y áreas. Solo el administrador de la planta escribe áreas, contenedores y asignaciones. Las pruebas de reglas pasan contra el emulador.</t>
  </si>
  <si>
    <t xml:space="preserve">S2</t>
  </si>
  <si>
    <t xml:space="preserve">En curso</t>
  </si>
  <si>
    <t xml:space="preserve">Plan RecyTrack Viña</t>
  </si>
  <si>
    <t xml:space="preserve">Base del resto del sprint.</t>
  </si>
  <si>
    <t xml:space="preserve">PB-07</t>
  </si>
  <si>
    <t xml:space="preserve">E7 · Panel web del administrador</t>
  </si>
  <si>
    <t xml:space="preserve">Como administrador, quiero un panel de escritorio con menú lateral al entrar desde el computador, para gestionar el programa con comodidad.</t>
  </si>
  <si>
    <t xml:space="preserve">Al entrar con rol administrador en una pantalla ancha se muestra el panel. Vive en la misma app.</t>
  </si>
  <si>
    <t xml:space="preserve">Informe 1.5, obj. 7</t>
  </si>
  <si>
    <t xml:space="preserve">Se adelantó desde S5: la configuración de la planta se hace desde aquí.</t>
  </si>
  <si>
    <t xml:space="preserve">PB-08</t>
  </si>
  <si>
    <t xml:space="preserve">Como administrador, quiero crear las áreas de la planta con su código de ingreso y su dotación, para medir la participación de cada una.</t>
  </si>
  <si>
    <t xml:space="preserve">Cada área tiene nombre, código único y dotación. El código no se repite entre áreas.</t>
  </si>
  <si>
    <t xml:space="preserve">Informe 1.5, obj. 1</t>
  </si>
  <si>
    <t xml:space="preserve">PB-09</t>
  </si>
  <si>
    <t xml:space="preserve">Como administrador, quiero crear contenedores indicando su punto limpio y material, e imprimir su QR, para instalarlos en la planta.</t>
  </si>
  <si>
    <t xml:space="preserve">Cada contenedor tiene código aleatorio, punto limpio y material (o mixto). El QR se imprime con el código visible debajo.</t>
  </si>
  <si>
    <t xml:space="preserve">Reutiliza los componentes de contenedores y QR del S1.</t>
  </si>
  <si>
    <t xml:space="preserve">PB-10</t>
  </si>
  <si>
    <t xml:space="preserve">Como administrador, quiero ver la lista de colaboradores con su área y último depósito, y poder cambiarlos de área, para mantener los datos al día.</t>
  </si>
  <si>
    <t xml:space="preserve">Lista filtrable por área. Solo el administrador puede cambiar el área de una persona.</t>
  </si>
  <si>
    <t xml:space="preserve">Se adelantó desde S5.</t>
  </si>
  <si>
    <t xml:space="preserve">PB-11</t>
  </si>
  <si>
    <t xml:space="preserve">Como administrador, quiero asignar al validador y a su suplente desde el panel, para que la ronda no dependa de una sola persona.</t>
  </si>
  <si>
    <t xml:space="preserve">Se elige titular y suplente entre los colaboradores. El cambio se refleja en sus permisos.</t>
  </si>
  <si>
    <t xml:space="preserve">R3</t>
  </si>
  <si>
    <t xml:space="preserve">Se adelantó desde S3. No se usan códigos para el validador.</t>
  </si>
  <si>
    <t xml:space="preserve">PB-12</t>
  </si>
  <si>
    <t xml:space="preserve">Como administrador, quiero cambiar el código de un contenedor si se filtra, para que no se registre desde otro lugar.</t>
  </si>
  <si>
    <t xml:space="preserve">El código anterior queda inactivo y el nuevo QR se puede imprimir.</t>
  </si>
  <si>
    <t xml:space="preserve">Existe una primera versión desde el S1.</t>
  </si>
  <si>
    <t xml:space="preserve">PB-13</t>
  </si>
  <si>
    <t xml:space="preserve">Como colaborador, quiero unirme a mi área con el código que me entrega el administrador, para que mis depósitos sumen a mi área.</t>
  </si>
  <si>
    <t xml:space="preserve">Un código inválido muestra un error claro. Un colaborador pertenece a una sola área.</t>
  </si>
  <si>
    <t xml:space="preserve">S3</t>
  </si>
  <si>
    <t xml:space="preserve">Por ajustar</t>
  </si>
  <si>
    <t xml:space="preserve">La vinculación con código existe desde el S1; falta ligarla a las áreas.</t>
  </si>
  <si>
    <t xml:space="preserve">PB-14</t>
  </si>
  <si>
    <t xml:space="preserve">Como colaborador, quiero crear mi cuenta sin elegir un rol, para que el registro sea más simple y nadie se asigne permisos.</t>
  </si>
  <si>
    <t xml:space="preserve">El registro no muestra selector de rol. Toda cuenta nueva nace como colaborador.</t>
  </si>
  <si>
    <t xml:space="preserve">PB-15</t>
  </si>
  <si>
    <t xml:space="preserve">Como colaborador, quiero que mis depósitos se guarden sin mi nombre, para que mis compañeros solo vean los totales de mi área.</t>
  </si>
  <si>
    <t xml:space="preserve">El registro guarda el id del colaborador, la planta y el área, sin nombre. Solo el administrador puede leer los perfiles de su planta.</t>
  </si>
  <si>
    <t xml:space="preserve">Pendiente</t>
  </si>
  <si>
    <t xml:space="preserve">PB-16</t>
  </si>
  <si>
    <t xml:space="preserve">Como colaborador, quiero escanear el QR del contenedor, para registrar mi depósito sin escribir nada.</t>
  </si>
  <si>
    <t xml:space="preserve">La cámara lee el QR en el navegador. El contenedor se valida contra la planta. El depósito queda pendiente.</t>
  </si>
  <si>
    <t xml:space="preserve">El escaneo funciona desde el S1; falta validar contra la planta.</t>
  </si>
  <si>
    <t xml:space="preserve">PB-17</t>
  </si>
  <si>
    <t xml:space="preserve">Como equipo de desarrollo, quiero que cada depósito sume al área de quien lo registra y no al contenedor, para que los puntos limpios se compartan entre áreas.</t>
  </si>
  <si>
    <t xml:space="preserve">Un depósito en cualquier contenedor de la planta suma al área del colaborador.</t>
  </si>
  <si>
    <t xml:space="preserve">PB-18</t>
  </si>
  <si>
    <t xml:space="preserve">Como equipo de desarrollo, quiero las reglas de seguridad del validador, para que solo él pueda validar o rechazar y solo en su planta.</t>
  </si>
  <si>
    <t xml:space="preserve">Las reglas permiten al validador pasar depósitos de pendiente a validado o rechazado y nada más. Pruebas de reglas pasan.</t>
  </si>
  <si>
    <t xml:space="preserve">PB-19</t>
  </si>
  <si>
    <t xml:space="preserve">Como validador, quiero ver los depósitos pendientes agrupados por contenedor, para revisarlos en una sola pasada.</t>
  </si>
  <si>
    <t xml:space="preserve">Cada contenedor muestra cuántos depósitos tiene y sus tallas. No se valida bolsa por bolsa.</t>
  </si>
  <si>
    <t xml:space="preserve">Informe 1.5, obj. 3</t>
  </si>
  <si>
    <t xml:space="preserve">Primera versión en el S1.</t>
  </si>
  <si>
    <t xml:space="preserve">PB-20</t>
  </si>
  <si>
    <t xml:space="preserve">Como validador, quiero marcar cada contenedor como Conforme, Con observación o Sin material, para registrar lo que encontré.</t>
  </si>
  <si>
    <t xml:space="preserve">Cada resultado se guarda en una escritura atómica. Con observación pide el material encontrado. Sin material rechaza los depósitos.</t>
  </si>
  <si>
    <t xml:space="preserve">Las acciones existen desde el S1 con otros nombres.</t>
  </si>
  <si>
    <t xml:space="preserve">PB-21</t>
  </si>
  <si>
    <t xml:space="preserve">Como validador, quiero una vista que solo muestre la validación, para no confundirme con funciones de administración.</t>
  </si>
  <si>
    <t xml:space="preserve">Al entrar con rol validador solo se ve la ronda. No hay acceso al panel.</t>
  </si>
  <si>
    <t xml:space="preserve">PB-22</t>
  </si>
  <si>
    <t xml:space="preserve">E4 · Registro de retiros</t>
  </si>
  <si>
    <t xml:space="preserve">Como administrador, quiero registrar cada retiro con fecha, quién retira, número de guía, contenedores y peso opcional, para certificar en ese mismo registro los depósitos validados.</t>
  </si>
  <si>
    <t xml:space="preserve">El retiro y la certificación se guardan juntos o no se guarda nada. Sin guía se puede registrar igual.</t>
  </si>
  <si>
    <t xml:space="preserve">S4</t>
  </si>
  <si>
    <t xml:space="preserve">Informe 1.5, obj. 4; R5</t>
  </si>
  <si>
    <t xml:space="preserve">PB-23</t>
  </si>
  <si>
    <t xml:space="preserve">Como equipo de desarrollo, quiero eliminar la vista y el código de gestor, para que la app quede con los tres roles definidos.</t>
  </si>
  <si>
    <t xml:space="preserve">No existe pantalla ni rol de gestor. Las reglas no aceptan ese rol.</t>
  </si>
  <si>
    <t xml:space="preserve">R5</t>
  </si>
  <si>
    <t xml:space="preserve">El gestor estaba en la propuesta inicial a la viña.</t>
  </si>
  <si>
    <t xml:space="preserve">PB-24</t>
  </si>
  <si>
    <t xml:space="preserve">E5 · Reportes y certificados</t>
  </si>
  <si>
    <t xml:space="preserve">Como colaborador, quiero descargar mi certificado mensual en PDF, para tener evidencia de lo que reciclé.</t>
  </si>
  <si>
    <t xml:space="preserve">Incluye kilos del mes, desglose por material, código único y detalle de cada depósito.</t>
  </si>
  <si>
    <t xml:space="preserve">Informe 1.5, obj. 5</t>
  </si>
  <si>
    <t xml:space="preserve">Primera versión en el S1; falta incorporar el área.</t>
  </si>
  <si>
    <t xml:space="preserve">PB-25</t>
  </si>
  <si>
    <t xml:space="preserve">Como administrador, quiero descargar el reporte mensual de la planta en PDF, para presentarlo en la gestión de sustentabilidad.</t>
  </si>
  <si>
    <t xml:space="preserve">Incluye participación por área, kilos por material, tiempos de cada etapa y observaciones. Se genera sin intervención manual.</t>
  </si>
  <si>
    <t xml:space="preserve">Primera versión en el S1; falta la participación por área.</t>
  </si>
  <si>
    <t xml:space="preserve">PB-26</t>
  </si>
  <si>
    <t xml:space="preserve">E8 · Piloto y calidad</t>
  </si>
  <si>
    <t xml:space="preserve">Como equipo de desarrollo, quiero borrar los datos y cuentas de prueba, para partir el piloto en limpio.</t>
  </si>
  <si>
    <t xml:space="preserve">Respaldo exportado antes de borrar. La base queda sin datos de prueba.</t>
  </si>
  <si>
    <t xml:space="preserve">Lo ejecuta Álvaro en producción.</t>
  </si>
  <si>
    <t xml:space="preserve">PB-27</t>
  </si>
  <si>
    <t xml:space="preserve">Como administrador de la viña, quiero que mi planta, mi cuenta, las áreas, los contenedores y el validador queden configurados, para empezar el piloto.</t>
  </si>
  <si>
    <t xml:space="preserve">La contraparte entra al panel y ve su planta lista.</t>
  </si>
  <si>
    <t xml:space="preserve">Depende de los datos que entregue la viña.</t>
  </si>
  <si>
    <t xml:space="preserve">PB-28</t>
  </si>
  <si>
    <t xml:space="preserve">Como administrador, quiero que al registrar el retiro se cierren las observaciones de esos contenedores, para no arrastrarlas al mes siguiente.</t>
  </si>
  <si>
    <t xml:space="preserve">Las observaciones de los contenedores retirados quedan atendidas con el código del retiro.</t>
  </si>
  <si>
    <t xml:space="preserve">PB-29</t>
  </si>
  <si>
    <t xml:space="preserve">Como administrador, quiero ver los retiros del mes con su guía y si el peso es estimado o verificado, para respaldar el reporte.</t>
  </si>
  <si>
    <t xml:space="preserve">Lista ordenada por fecha. Un retiro con peso se marca como verificado.</t>
  </si>
  <si>
    <t xml:space="preserve">Lienzo del panel</t>
  </si>
  <si>
    <t xml:space="preserve">PB-30</t>
  </si>
  <si>
    <t xml:space="preserve">Como validador, quiero recibir un aviso cuando hay depósitos por validar, para hacer la ronda a tiempo.</t>
  </si>
  <si>
    <t xml:space="preserve">El aviso aparece en la campana y como banner al abrir la app.</t>
  </si>
  <si>
    <t xml:space="preserve">PB-31</t>
  </si>
  <si>
    <t xml:space="preserve">E6 · Campañas y ranking por área</t>
  </si>
  <si>
    <t xml:space="preserve">Como colaborador, quiero ver el ranking de áreas ordenado por participación, para saber cómo va mi área frente a las demás.</t>
  </si>
  <si>
    <t xml:space="preserve">Ordena por porcentaje de la dotación que recicló en el mes. Muestra EcoPuntos por área. No muestra personas.</t>
  </si>
  <si>
    <t xml:space="preserve">S5</t>
  </si>
  <si>
    <t xml:space="preserve">Informe 1.5, obj. 6</t>
  </si>
  <si>
    <t xml:space="preserve">La primera versión ordena por kilos; se cambia a participación.</t>
  </si>
  <si>
    <t xml:space="preserve">PB-32</t>
  </si>
  <si>
    <t xml:space="preserve">Como administrador, quiero crear una campaña con meta de participación, incentivo y fecha de término, para motivar a las áreas.</t>
  </si>
  <si>
    <t xml:space="preserve">Una campaña activa por planta. La meta nunca se expresa en kilos.</t>
  </si>
  <si>
    <t xml:space="preserve">PB-33</t>
  </si>
  <si>
    <t xml:space="preserve">Como administrador, quiero ver un resumen del mes con participación, depósitos validados, kilos estimados, rondas y observaciones, para saber cómo va el programa.</t>
  </si>
  <si>
    <t xml:space="preserve">Los indicadores coinciden con el reporte mensual del mismo período.</t>
  </si>
  <si>
    <t xml:space="preserve">PB-34</t>
  </si>
  <si>
    <t xml:space="preserve">Como colaborador, quiero ver en Inicio el lugar de mi área y el incentivo vigente, para saber por qué estamos compitiendo.</t>
  </si>
  <si>
    <t xml:space="preserve">Tarjeta con área, posición en el ranking, avance de la campaña e incentivo.</t>
  </si>
  <si>
    <t xml:space="preserve">PB-35</t>
  </si>
  <si>
    <t xml:space="preserve">Como administrador, quiero ver el calendario de rondas del mes y la ronda de hoy, para saber si el validador está cumpliendo.</t>
  </si>
  <si>
    <t xml:space="preserve">Cada día se marca como completado o no según las validaciones registradas.</t>
  </si>
  <si>
    <t xml:space="preserve">Un día sin depósitos no deja rastro.</t>
  </si>
  <si>
    <t xml:space="preserve">PB-36</t>
  </si>
  <si>
    <t xml:space="preserve">Como colaborador, quiero seguir teniendo la misión semanal y sus puntos, para tener una meta personal corta.</t>
  </si>
  <si>
    <t xml:space="preserve">La misión rota cada semana y se calcula con depósitos no rechazados.</t>
  </si>
  <si>
    <t xml:space="preserve">Could</t>
  </si>
  <si>
    <t xml:space="preserve">Arquitectura general (Fase 1)</t>
  </si>
  <si>
    <t xml:space="preserve">El nombre de los EcoPuntos está por decidir (P4).</t>
  </si>
  <si>
    <t xml:space="preserve">PB-37</t>
  </si>
  <si>
    <t xml:space="preserve">Como administrador que entra desde el celular, quiero un mensaje que me pida abrir el panel en el computador, para no operar en una pantalla pequeña.</t>
  </si>
  <si>
    <t xml:space="preserve">En pantallas angostas se muestra el mensaje en lugar del panel.</t>
  </si>
  <si>
    <t xml:space="preserve">Decisión abierta (P9).</t>
  </si>
  <si>
    <t xml:space="preserve">PB-38</t>
  </si>
  <si>
    <t xml:space="preserve">Como equipo, quiero ejecutar el plan de pruebas y medir las métricas del piloto, para comprobar si se cumplieron los objetivos.</t>
  </si>
  <si>
    <t xml:space="preserve">Se mide lectura de QR, rondas completadas, tiempo de la cadena, participación por área y documentos emitidos.</t>
  </si>
  <si>
    <t xml:space="preserve">S6</t>
  </si>
  <si>
    <t xml:space="preserve">Informe 1.5, obj. 8</t>
  </si>
  <si>
    <t xml:space="preserve">PB-39</t>
  </si>
  <si>
    <t xml:space="preserve">Como equipo, quiero corregir los errores que aparezcan en el piloto, para cerrar con un producto estable.</t>
  </si>
  <si>
    <t xml:space="preserve">Los errores reportados quedan registrados y se resuelven por prioridad.</t>
  </si>
  <si>
    <t xml:space="preserve">Informe 1.5, S6</t>
  </si>
  <si>
    <t xml:space="preserve">PB-40</t>
  </si>
  <si>
    <t xml:space="preserve">Como administrador, quiero que la masa aparezca como verificada cuando el retiro tiene peso, para no presentar estimaciones como mediciones.</t>
  </si>
  <si>
    <t xml:space="preserve">Reporte y certificado distinguen kilos estimados y verificados.</t>
  </si>
  <si>
    <t xml:space="preserve">PB-41</t>
  </si>
  <si>
    <t xml:space="preserve">Como colaborador, quiero que toda la app use el nombre RecyTrack y el vocabulario de la planta, para reconocerla como el programa de mi lugar de trabajo.</t>
  </si>
  <si>
    <t xml:space="preserve">El nombre RecyTrack aparece en la app, el ícono instalable y los PDF. Todos los textos hablan de colaboradores, áreas y puntos limpios.</t>
  </si>
  <si>
    <t xml:space="preserve">R1, R7</t>
  </si>
  <si>
    <t xml:space="preserve">"Colaborador" ya se muestra en la app.</t>
  </si>
  <si>
    <t xml:space="preserve">PB-42</t>
  </si>
  <si>
    <t xml:space="preserve">Como colaborador, quiero ver mi área en Mi cuenta sin poder cambiarla yo, para que nadie suba la participación cambiándose.</t>
  </si>
  <si>
    <t xml:space="preserve">Mi cuenta muestra el área sin opción de editarla. Las reglas rechazan que un colaborador cambie su propia área.</t>
  </si>
  <si>
    <t xml:space="preserve">PB-43</t>
  </si>
  <si>
    <t xml:space="preserve">Como colaborador del turno de noche, quiero saber que mi depósito se valida en la ronda del día siguiente, para no pensar que se perdió.</t>
  </si>
  <si>
    <t xml:space="preserve">Al registrar fuera del horario de ronda se muestra un aviso breve.</t>
  </si>
  <si>
    <t xml:space="preserve">PB-44</t>
  </si>
  <si>
    <t xml:space="preserve">Como administrador de la viña, quiero una dirección web con el nombre RecyTrack, para compartirla con los colaboradores.</t>
  </si>
  <si>
    <t xml:space="preserve">La app responde en un sitio de hosting con el nombre RecyTrack.</t>
  </si>
  <si>
    <t xml:space="preserve">Decisión abierta (P10).</t>
  </si>
  <si>
    <t xml:space="preserve">PB-45</t>
  </si>
  <si>
    <t xml:space="preserve">Como administrador, quiero exportar los datos del mes en CSV, para trabajarlos en una planilla.</t>
  </si>
  <si>
    <t xml:space="preserve">El archivo trae un depósito por fila, sin nombres.</t>
  </si>
  <si>
    <t xml:space="preserve">Después del piloto</t>
  </si>
  <si>
    <t xml:space="preserve">PB-46</t>
  </si>
  <si>
    <t xml:space="preserve">Como administrador, quiero tener varias campañas a la vez, por turno y con historial.</t>
  </si>
  <si>
    <t xml:space="preserve">Fuera de la primera versión.</t>
  </si>
  <si>
    <t xml:space="preserve">Won't</t>
  </si>
  <si>
    <t xml:space="preserve">Se retoma si la viña lo pide.</t>
  </si>
  <si>
    <t xml:space="preserve">PB-47</t>
  </si>
  <si>
    <t xml:space="preserve">Como administrador, quiero configurar factores de estimación, topes anti-fraude, privacidad y consentimiento.</t>
  </si>
  <si>
    <t xml:space="preserve">Épicas</t>
  </si>
  <si>
    <t xml:space="preserve">Cada épica responde a un objetivo específico del informe de la Fase 1. Los totales se calculan desde el Product Backlog.</t>
  </si>
  <si>
    <t xml:space="preserve">Nombre</t>
  </si>
  <si>
    <t xml:space="preserve">Objetivo específico</t>
  </si>
  <si>
    <t xml:space="preserve">Sprint principal</t>
  </si>
  <si>
    <t xml:space="preserve">Historias</t>
  </si>
  <si>
    <t xml:space="preserve">Puntos hechos</t>
  </si>
  <si>
    <t xml:space="preserve">Avance</t>
  </si>
  <si>
    <t xml:space="preserve">E1</t>
  </si>
  <si>
    <t xml:space="preserve">Incorporación y acceso</t>
  </si>
  <si>
    <t xml:space="preserve">1. Incorporación de colaboradores y vinculación a un área</t>
  </si>
  <si>
    <t xml:space="preserve">E2</t>
  </si>
  <si>
    <t xml:space="preserve">Registro por QR</t>
  </si>
  <si>
    <t xml:space="preserve">2. Registro de reciclaje por QR</t>
  </si>
  <si>
    <t xml:space="preserve">E3</t>
  </si>
  <si>
    <t xml:space="preserve">Validación diaria</t>
  </si>
  <si>
    <t xml:space="preserve">3. Ronda diaria de validación</t>
  </si>
  <si>
    <t xml:space="preserve">E4</t>
  </si>
  <si>
    <t xml:space="preserve">Registro de retiros</t>
  </si>
  <si>
    <t xml:space="preserve">4. Registro de retiros desde el panel</t>
  </si>
  <si>
    <t xml:space="preserve">E5</t>
  </si>
  <si>
    <t xml:space="preserve">Reportes y certificados</t>
  </si>
  <si>
    <t xml:space="preserve">5. Reporte y certificado mensual automáticos</t>
  </si>
  <si>
    <t xml:space="preserve">E6</t>
  </si>
  <si>
    <t xml:space="preserve">Campañas y ranking por área</t>
  </si>
  <si>
    <t xml:space="preserve">6. Campañas colectivas por área</t>
  </si>
  <si>
    <t xml:space="preserve">E7</t>
  </si>
  <si>
    <t xml:space="preserve">Panel web del administrador</t>
  </si>
  <si>
    <t xml:space="preserve">7. Panel web del administrador</t>
  </si>
  <si>
    <t xml:space="preserve">E8</t>
  </si>
  <si>
    <t xml:space="preserve">Piloto y calidad</t>
  </si>
  <si>
    <t xml:space="preserve">8. Piloto de cuatro semanas</t>
  </si>
  <si>
    <t xml:space="preserve">S4 a S6</t>
  </si>
  <si>
    <t xml:space="preserve">Total</t>
  </si>
  <si>
    <t xml:space="preserve">Resumen por sprint</t>
  </si>
  <si>
    <t xml:space="preserve">Puntos comprometidos por sprint según el backlog. Semanas según la carta Gantt del informe de la Fase 1.</t>
  </si>
  <si>
    <t xml:space="preserve">Semanas</t>
  </si>
  <si>
    <t xml:space="preserve">Objetivo del sprint</t>
  </si>
  <si>
    <t xml:space="preserve">Must (puntos)</t>
  </si>
  <si>
    <t xml:space="preserve">Por ajustar (historias)</t>
  </si>
  <si>
    <t xml:space="preserve">5 y 6</t>
  </si>
  <si>
    <t xml:space="preserve">Arquitectura base, autenticación, roles y primeras versiones del registro por QR, la validación y los documentos</t>
  </si>
  <si>
    <t xml:space="preserve">7 y 8</t>
  </si>
  <si>
    <t xml:space="preserve">Configurar la planta desde el panel web: áreas, contenedores y QR, personas y validador</t>
  </si>
  <si>
    <t xml:space="preserve">9 y 10</t>
  </si>
  <si>
    <t xml:space="preserve">Colaborador y validador sobre el modelo de áreas</t>
  </si>
  <si>
    <t xml:space="preserve">11 y 12</t>
  </si>
  <si>
    <t xml:space="preserve">Retiros, reportes, certificados y preparación del piloto</t>
  </si>
  <si>
    <t xml:space="preserve">13 y 14</t>
  </si>
  <si>
    <t xml:space="preserve">Panel web, campañas y ranking por área</t>
  </si>
  <si>
    <t xml:space="preserve">15 a 17</t>
  </si>
  <si>
    <t xml:space="preserve">Pruebas, métricas del piloto, correcciones y terminaciones</t>
  </si>
  <si>
    <t xml:space="preserve">—</t>
  </si>
  <si>
    <t xml:space="preserve">Funciones del lienzo que quedan fuera de la primera versión</t>
  </si>
  <si>
    <t xml:space="preserve">La velocidad real de cada sprint se registra en el Sprint Backlog, una vez cerrado el sprint.</t>
  </si>
  <si>
    <t xml:space="preserve">Cómo leer y mantener el backlog</t>
  </si>
  <si>
    <t xml:space="preserve">Formato de las historias</t>
  </si>
  <si>
    <t xml:space="preserve">Como &lt;usuario&gt;, quiero &lt;acción&gt;, para &lt;beneficio&gt;. Las historias técnicas usan "Como equipo de desarrollo".</t>
  </si>
  <si>
    <t xml:space="preserve">Prioridad (MoSCoW)</t>
  </si>
  <si>
    <t xml:space="preserve">Must: sin esto no hay piloto. Should: importante, pero el piloto puede partir sin ello. Could: deseable si sobra capacidad. Won't: fuera de esta versión, queda registrado.</t>
  </si>
  <si>
    <t xml:space="preserve">Estimación relativa de esfuerzo en escala de Fibonacci (1, 2, 3, 5, 8, 13). Es una estimación inicial: se ajusta en la planificación de cada sprint.</t>
  </si>
  <si>
    <t xml:space="preserve">S1 a S6: sprint en que se terminó o en que se compromete la historia. Después del piloto: fuera de la primera versión.</t>
  </si>
  <si>
    <t xml:space="preserve">Hecho: terminado según la definición de terminado. En curso: comprometido en el sprint actual. Por ajustar: existe una primera versión y falta ajustarla al modelo de áreas. Pendiente: no se ha comenzado.</t>
  </si>
  <si>
    <t xml:space="preserve">De dónde sale la historia: informe de la Fase 1 (objetivo o sprint), Plan RecyTrack Viña, lienzo del panel o un requerimiento registrado (R1 a R8).</t>
  </si>
  <si>
    <t xml:space="preserve">Celdas editables</t>
  </si>
  <si>
    <t xml:space="preserve">Prioridad, Puntos, Sprint y Estado (texto azul, con lista desplegable). Las hojas Épicas y Resumen por sprint se recalculan solas.</t>
  </si>
  <si>
    <t xml:space="preserve">Nuevas historias</t>
  </si>
  <si>
    <t xml:space="preserve">Se agregan al final de la tabla con el siguiente ID y luego se reordena la columna Orden.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</si>
</sst>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3A"/>
      <name val="Arial"/>
      <family val="0"/>
      <charset val="1"/>
    </font>
    <font>
      <i val="true"/>
      <sz val="9"/>
      <color rgb="FF5F6B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C3A"/>
        <bgColor rgb="FF008000"/>
      </patternFill>
    </fill>
    <fill>
      <patternFill patternType="solid">
        <fgColor rgb="FFE3EEE6"/>
        <bgColor rgb="FFD7EB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2"/>
      </left>
      <right style="thin">
        <color rgb="FFBFC9C2"/>
      </right>
      <top style="thin">
        <color rgb="FFBFC9C2"/>
      </top>
      <bottom style="thin">
        <color rgb="FFBFC9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5C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AA39D"/>
          <bgColor rgb="FF000000"/>
        </patternFill>
      </fill>
    </dxf>
    <dxf>
      <fill>
        <patternFill patternType="solid">
          <fgColor rgb="FFD7EBDD"/>
          <bgColor rgb="FF000000"/>
        </patternFill>
      </fill>
    </dxf>
    <dxf>
      <fill>
        <patternFill patternType="solid">
          <fgColor rgb="FFDCE8F7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>
          <bgColor rgb="FFD7EBDD"/>
        </patternFill>
      </fill>
    </dxf>
    <dxf>
      <fill>
        <patternFill>
          <bgColor rgb="FFFFF1CC"/>
        </patternFill>
      </fill>
    </dxf>
    <dxf>
      <fill>
        <patternFill>
          <bgColor rgb="FFDCE8F7"/>
        </patternFill>
      </fill>
    </dxf>
    <dxf>
      <font>
        <name val="Arial"/>
        <charset val="1"/>
        <family val="0"/>
        <color rgb="FF9AA39D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2"/>
      <rgbColor rgb="FF808080"/>
      <rgbColor rgb="FF9999FF"/>
      <rgbColor rgb="FF993366"/>
      <rgbColor rgb="FFFFF1CC"/>
      <rgbColor rgb="FFDC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E6"/>
      <rgbColor rgb="FFD7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63"/>
      <rgbColor rgb="FF9AA39D"/>
      <rgbColor rgb="FF003366"/>
      <rgbColor rgb="FF339966"/>
      <rgbColor rgb="FF003300"/>
      <rgbColor rgb="FF333300"/>
      <rgbColor rgb="FF993300"/>
      <rgbColor rgb="FF993366"/>
      <rgbColor rgb="FF333399"/>
      <rgbColor rgb="FF1F5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E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22"/>
    <col collapsed="false" customWidth="true" hidden="false" outlineLevel="0" max="4" min="4" style="1" width="60"/>
    <col collapsed="false" customWidth="true" hidden="false" outlineLevel="0" max="5" min="5" style="1" width="50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9" min="8" style="1" width="12"/>
    <col collapsed="false" customWidth="true" hidden="false" outlineLevel="0" max="10" min="10" style="1" width="20"/>
    <col collapsed="false" customWidth="true" hidden="false" outlineLevel="0" max="11" min="11" style="1" width="36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inlineStr">
        <is>
          <t xml:space="preserve">Ordenado por sprint y prioridad. Estado al 18 de octubre de 2026. Las columnas Prioridad, Puntos, Sprint y Estado son editables.</t>
        </is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2.35" hidden="false" customHeight="false" outlineLevel="0" collapsed="false">
      <c r="A5" s="5" t="s">
        <v>13</v>
      </c>
      <c r="B5" s="5" t="n">
        <v>1</v>
      </c>
      <c r="C5" s="6" t="s">
        <v>14</v>
      </c>
      <c r="D5" s="6" t="s">
        <v>15</v>
      </c>
      <c r="E5" s="6" t="s">
        <v>16</v>
      </c>
      <c r="F5" s="7" t="s">
        <v>17</v>
      </c>
      <c r="G5" s="7" t="n">
        <v>3</v>
      </c>
      <c r="H5" s="7" t="s">
        <v>18</v>
      </c>
      <c r="I5" s="7" t="s">
        <v>19</v>
      </c>
      <c r="J5" s="6" t="s">
        <v>20</v>
      </c>
      <c r="K5" s="6"/>
    </row>
    <row r="6" customFormat="false" ht="22.35" hidden="false" customHeight="false" outlineLevel="0" collapsed="false">
      <c r="A6" s="5" t="s">
        <v>21</v>
      </c>
      <c r="B6" s="5" t="n">
        <v>2</v>
      </c>
      <c r="C6" s="6" t="s">
        <v>14</v>
      </c>
      <c r="D6" s="6" t="s">
        <v>22</v>
      </c>
      <c r="E6" s="6" t="s">
        <v>23</v>
      </c>
      <c r="F6" s="7" t="s">
        <v>17</v>
      </c>
      <c r="G6" s="7" t="n">
        <v>1</v>
      </c>
      <c r="H6" s="7" t="s">
        <v>18</v>
      </c>
      <c r="I6" s="7" t="s">
        <v>19</v>
      </c>
      <c r="J6" s="6" t="s">
        <v>24</v>
      </c>
      <c r="K6" s="6" t="s">
        <v>25</v>
      </c>
    </row>
    <row r="7" customFormat="false" ht="22.35" hidden="false" customHeight="false" outlineLevel="0" collapsed="false">
      <c r="A7" s="5" t="s">
        <v>26</v>
      </c>
      <c r="B7" s="5" t="n">
        <v>3</v>
      </c>
      <c r="C7" s="6" t="s">
        <v>14</v>
      </c>
      <c r="D7" s="6" t="s">
        <v>27</v>
      </c>
      <c r="E7" s="6" t="s">
        <v>28</v>
      </c>
      <c r="F7" s="7" t="s">
        <v>17</v>
      </c>
      <c r="G7" s="7" t="n">
        <v>3</v>
      </c>
      <c r="H7" s="7" t="s">
        <v>18</v>
      </c>
      <c r="I7" s="7" t="s">
        <v>19</v>
      </c>
      <c r="J7" s="6" t="s">
        <v>24</v>
      </c>
      <c r="K7" s="6"/>
    </row>
    <row r="8" customFormat="false" ht="22.35" hidden="false" customHeight="false" outlineLevel="0" collapsed="false">
      <c r="A8" s="5" t="s">
        <v>29</v>
      </c>
      <c r="B8" s="5" t="n">
        <v>4</v>
      </c>
      <c r="C8" s="6" t="s">
        <v>30</v>
      </c>
      <c r="D8" s="6" t="s">
        <v>31</v>
      </c>
      <c r="E8" s="6" t="s">
        <v>32</v>
      </c>
      <c r="F8" s="7" t="s">
        <v>33</v>
      </c>
      <c r="G8" s="7" t="n">
        <v>3</v>
      </c>
      <c r="H8" s="7" t="s">
        <v>18</v>
      </c>
      <c r="I8" s="7" t="s">
        <v>19</v>
      </c>
      <c r="J8" s="6" t="s">
        <v>34</v>
      </c>
      <c r="K8" s="6" t="s">
        <v>35</v>
      </c>
    </row>
    <row r="9" customFormat="false" ht="22.35" hidden="false" customHeight="false" outlineLevel="0" collapsed="false">
      <c r="A9" s="5" t="s">
        <v>36</v>
      </c>
      <c r="B9" s="5" t="n">
        <v>5</v>
      </c>
      <c r="C9" s="6" t="s">
        <v>37</v>
      </c>
      <c r="D9" s="6" t="s">
        <v>38</v>
      </c>
      <c r="E9" s="6" t="s">
        <v>39</v>
      </c>
      <c r="F9" s="7" t="s">
        <v>33</v>
      </c>
      <c r="G9" s="7" t="n">
        <v>1</v>
      </c>
      <c r="H9" s="7" t="s">
        <v>18</v>
      </c>
      <c r="I9" s="7" t="s">
        <v>19</v>
      </c>
      <c r="J9" s="6" t="s">
        <v>40</v>
      </c>
      <c r="K9" s="6"/>
    </row>
    <row r="10" customFormat="false" ht="32.8" hidden="false" customHeight="false" outlineLevel="0" collapsed="false">
      <c r="A10" s="5" t="s">
        <v>41</v>
      </c>
      <c r="B10" s="5" t="n">
        <v>6</v>
      </c>
      <c r="C10" s="6" t="s">
        <v>30</v>
      </c>
      <c r="D10" s="6" t="s">
        <v>42</v>
      </c>
      <c r="E10" s="6" t="s">
        <v>43</v>
      </c>
      <c r="F10" s="7" t="s">
        <v>17</v>
      </c>
      <c r="G10" s="7" t="n">
        <v>8</v>
      </c>
      <c r="H10" s="7" t="inlineStr">
        <is>
          <t xml:space="preserve">S2</t>
        </is>
      </c>
      <c r="I10" s="7" t="inlineStr">
        <is>
          <t xml:space="preserve">Hecho</t>
        </is>
      </c>
      <c r="J10" s="6" t="s">
        <v>46</v>
      </c>
      <c r="K10" s="6" t="inlineStr">
        <is>
          <t xml:space="preserve">Terminada en el S2 (PR #38, aprobado por Álvaro, y PR #39, aprobado por Vicente).</t>
        </is>
      </c>
    </row>
    <row r="11" customFormat="false" ht="22.35" hidden="false" customHeight="false" outlineLevel="0" collapsed="false">
      <c r="A11" s="5" t="s">
        <v>48</v>
      </c>
      <c r="B11" s="5" t="n">
        <v>7</v>
      </c>
      <c r="C11" s="6" t="s">
        <v>49</v>
      </c>
      <c r="D11" s="6" t="s">
        <v>50</v>
      </c>
      <c r="E11" s="6" t="s">
        <v>51</v>
      </c>
      <c r="F11" s="7" t="s">
        <v>17</v>
      </c>
      <c r="G11" s="7" t="n">
        <v>5</v>
      </c>
      <c r="H11" s="7" t="inlineStr">
        <is>
          <t xml:space="preserve">S2</t>
        </is>
      </c>
      <c r="I11" s="7" t="inlineStr">
        <is>
          <t xml:space="preserve">Hecho</t>
        </is>
      </c>
      <c r="J11" s="6" t="s">
        <v>52</v>
      </c>
      <c r="K11" s="6" t="inlineStr">
        <is>
          <t xml:space="preserve">Terminada en el S2 (PR #43, fusionado por el administrador sin aprobación de otro integrante).</t>
        </is>
      </c>
    </row>
    <row r="12" customFormat="false" ht="22.35" hidden="false" customHeight="false" outlineLevel="0" collapsed="false">
      <c r="A12" s="5" t="s">
        <v>54</v>
      </c>
      <c r="B12" s="5" t="n">
        <v>8</v>
      </c>
      <c r="C12" s="6" t="s">
        <v>30</v>
      </c>
      <c r="D12" s="6" t="s">
        <v>55</v>
      </c>
      <c r="E12" s="6" t="s">
        <v>56</v>
      </c>
      <c r="F12" s="7" t="s">
        <v>17</v>
      </c>
      <c r="G12" s="7" t="n">
        <v>3</v>
      </c>
      <c r="H12" s="7" t="inlineStr">
        <is>
          <t xml:space="preserve">S2</t>
        </is>
      </c>
      <c r="I12" s="7" t="inlineStr">
        <is>
          <t xml:space="preserve">Hecho</t>
        </is>
      </c>
      <c r="J12" s="6" t="s">
        <v>57</v>
      </c>
      <c r="K12" s="6" t="inlineStr">
        <is>
          <t xml:space="preserve">Terminada en el S2 (PR #44, fusionado por el administrador sin aprobación de otro integrante).</t>
        </is>
      </c>
    </row>
    <row r="13" customFormat="false" ht="22.35" hidden="false" customHeight="false" outlineLevel="0" collapsed="false">
      <c r="A13" s="5" t="s">
        <v>58</v>
      </c>
      <c r="B13" s="5" t="n">
        <v>9</v>
      </c>
      <c r="C13" s="6" t="s">
        <v>14</v>
      </c>
      <c r="D13" s="6" t="s">
        <v>59</v>
      </c>
      <c r="E13" s="6" t="s">
        <v>60</v>
      </c>
      <c r="F13" s="7" t="s">
        <v>17</v>
      </c>
      <c r="G13" s="7" t="n">
        <v>5</v>
      </c>
      <c r="H13" s="7" t="inlineStr">
        <is>
          <t xml:space="preserve">S2</t>
        </is>
      </c>
      <c r="I13" s="7" t="inlineStr">
        <is>
          <t xml:space="preserve">Hecho</t>
        </is>
      </c>
      <c r="J13" s="6" t="s">
        <v>46</v>
      </c>
      <c r="K13" s="6" t="inlineStr">
        <is>
          <t xml:space="preserve">Terminada en el S2 (PR #44, fusionado por el administrador sin aprobación de otro integrante).</t>
        </is>
      </c>
    </row>
    <row r="14" customFormat="false" ht="22.35" hidden="false" customHeight="false" outlineLevel="0" collapsed="false">
      <c r="A14" s="5" t="s">
        <v>62</v>
      </c>
      <c r="B14" s="5" t="n">
        <v>10</v>
      </c>
      <c r="C14" s="6" t="s">
        <v>49</v>
      </c>
      <c r="D14" s="6" t="s">
        <v>63</v>
      </c>
      <c r="E14" s="6" t="s">
        <v>64</v>
      </c>
      <c r="F14" s="7" t="s">
        <v>17</v>
      </c>
      <c r="G14" s="7" t="n">
        <v>5</v>
      </c>
      <c r="H14" s="7" t="inlineStr">
        <is>
          <t xml:space="preserve">S2</t>
        </is>
      </c>
      <c r="I14" s="7" t="inlineStr">
        <is>
          <t xml:space="preserve">Hecho</t>
        </is>
      </c>
      <c r="J14" s="6" t="s">
        <v>52</v>
      </c>
      <c r="K14" s="6" t="inlineStr">
        <is>
          <t xml:space="preserve">Terminada en el S2 (PR #44, fusionado por el administrador sin aprobación de otro integrante).</t>
        </is>
      </c>
    </row>
    <row r="15" customFormat="false" ht="22.35" hidden="false" customHeight="false" outlineLevel="0" collapsed="false">
      <c r="A15" s="5" t="s">
        <v>66</v>
      </c>
      <c r="B15" s="5" t="n">
        <v>11</v>
      </c>
      <c r="C15" s="6" t="s">
        <v>37</v>
      </c>
      <c r="D15" s="6" t="s">
        <v>67</v>
      </c>
      <c r="E15" s="6" t="s">
        <v>68</v>
      </c>
      <c r="F15" s="7" t="s">
        <v>17</v>
      </c>
      <c r="G15" s="7" t="n">
        <v>3</v>
      </c>
      <c r="H15" s="7" t="inlineStr">
        <is>
          <t xml:space="preserve">S2</t>
        </is>
      </c>
      <c r="I15" s="7" t="inlineStr">
        <is>
          <t xml:space="preserve">Hecho</t>
        </is>
      </c>
      <c r="J15" s="6" t="s">
        <v>69</v>
      </c>
      <c r="K15" s="6" t="inlineStr">
        <is>
          <t xml:space="preserve">Terminada en el S2 (PR #44, fusionado por el administrador sin aprobación de otro integrante). No se usan códigos para el validador.</t>
        </is>
      </c>
    </row>
    <row r="16" customFormat="false" ht="22.35" hidden="false" customHeight="false" outlineLevel="0" collapsed="false">
      <c r="A16" s="5" t="s">
        <v>71</v>
      </c>
      <c r="B16" s="5" t="n">
        <v>12</v>
      </c>
      <c r="C16" s="6" t="s">
        <v>14</v>
      </c>
      <c r="D16" s="6" t="s">
        <v>72</v>
      </c>
      <c r="E16" s="6" t="s">
        <v>73</v>
      </c>
      <c r="F16" s="7" t="s">
        <v>33</v>
      </c>
      <c r="G16" s="7" t="n">
        <v>2</v>
      </c>
      <c r="H16" s="7" t="inlineStr">
        <is>
          <t xml:space="preserve">S2</t>
        </is>
      </c>
      <c r="I16" s="7" t="inlineStr">
        <is>
          <t xml:space="preserve">Hecho</t>
        </is>
      </c>
      <c r="J16" s="6" t="s">
        <v>40</v>
      </c>
      <c r="K16" s="6" t="inlineStr">
        <is>
          <t xml:space="preserve">Terminada en el S2 (PR #44, fusionado por el administrador sin aprobación de otro integrante).</t>
        </is>
      </c>
    </row>
    <row r="17" customFormat="false" ht="22.35" hidden="false" customHeight="false" outlineLevel="0" collapsed="false">
      <c r="A17" s="5" t="s">
        <v>75</v>
      </c>
      <c r="B17" s="5" t="n">
        <v>13</v>
      </c>
      <c r="C17" s="6" t="s">
        <v>30</v>
      </c>
      <c r="D17" s="6" t="s">
        <v>76</v>
      </c>
      <c r="E17" s="6" t="s">
        <v>77</v>
      </c>
      <c r="F17" s="7" t="s">
        <v>17</v>
      </c>
      <c r="G17" s="7" t="n">
        <v>5</v>
      </c>
      <c r="H17" s="7" t="inlineStr">
        <is>
          <t xml:space="preserve">S2</t>
        </is>
      </c>
      <c r="I17" s="7" t="inlineStr">
        <is>
          <t xml:space="preserve">Hecho</t>
        </is>
      </c>
      <c r="J17" s="6" t="s">
        <v>57</v>
      </c>
      <c r="K17" s="6" t="inlineStr">
        <is>
          <t xml:space="preserve">Terminada en el S2 (PR #42, fusionado por el administrador sin aprobación de otro integrante). Muestra el nombre del área antes de unirse.</t>
        </is>
      </c>
    </row>
    <row r="18" customFormat="false" ht="22.35" hidden="false" customHeight="false" outlineLevel="0" collapsed="false">
      <c r="A18" s="5" t="s">
        <v>81</v>
      </c>
      <c r="B18" s="5" t="n">
        <v>14</v>
      </c>
      <c r="C18" s="6" t="s">
        <v>30</v>
      </c>
      <c r="D18" s="6" t="s">
        <v>82</v>
      </c>
      <c r="E18" s="6" t="s">
        <v>83</v>
      </c>
      <c r="F18" s="7" t="s">
        <v>17</v>
      </c>
      <c r="G18" s="7" t="n">
        <v>1</v>
      </c>
      <c r="H18" s="7" t="inlineStr">
        <is>
          <t xml:space="preserve">S2</t>
        </is>
      </c>
      <c r="I18" s="7" t="inlineStr">
        <is>
          <t xml:space="preserve">Hecho</t>
        </is>
      </c>
      <c r="J18" s="6" t="s">
        <v>46</v>
      </c>
      <c r="K18" s="6" t="inlineStr">
        <is>
          <t xml:space="preserve">Terminada en el S2 (PR #38, aprobado por Álvaro, y PR #42, fusionado por el administrador sin aprobación de otro integrante).</t>
        </is>
      </c>
    </row>
    <row r="19" customFormat="false" ht="22.35" hidden="false" customHeight="false" outlineLevel="0" collapsed="false">
      <c r="A19" s="5" t="s">
        <v>84</v>
      </c>
      <c r="B19" s="5" t="n">
        <v>15</v>
      </c>
      <c r="C19" s="6" t="s">
        <v>30</v>
      </c>
      <c r="D19" s="6" t="s">
        <v>85</v>
      </c>
      <c r="E19" s="6" t="s">
        <v>86</v>
      </c>
      <c r="F19" s="7" t="s">
        <v>17</v>
      </c>
      <c r="G19" s="7" t="n">
        <v>3</v>
      </c>
      <c r="H19" s="7" t="inlineStr">
        <is>
          <t xml:space="preserve">S2</t>
        </is>
      </c>
      <c r="I19" s="7" t="inlineStr">
        <is>
          <t xml:space="preserve">Hecho</t>
        </is>
      </c>
      <c r="J19" s="6" t="s">
        <v>46</v>
      </c>
      <c r="K19" s="6" t="inlineStr">
        <is>
          <t xml:space="preserve">Terminada en el S2 (PR #38, aprobado por Álvaro).</t>
        </is>
      </c>
    </row>
    <row r="20" customFormat="false" ht="22.35" hidden="false" customHeight="false" outlineLevel="0" collapsed="false">
      <c r="A20" s="5" t="s">
        <v>88</v>
      </c>
      <c r="B20" s="5" t="n">
        <v>16</v>
      </c>
      <c r="C20" s="6" t="s">
        <v>14</v>
      </c>
      <c r="D20" s="6" t="s">
        <v>89</v>
      </c>
      <c r="E20" s="6" t="s">
        <v>90</v>
      </c>
      <c r="F20" s="7" t="s">
        <v>17</v>
      </c>
      <c r="G20" s="7" t="n">
        <v>5</v>
      </c>
      <c r="H20" s="7" t="inlineStr">
        <is>
          <t xml:space="preserve">S2</t>
        </is>
      </c>
      <c r="I20" s="7" t="inlineStr">
        <is>
          <t xml:space="preserve">Hecho</t>
        </is>
      </c>
      <c r="J20" s="6" t="s">
        <v>20</v>
      </c>
      <c r="K20" s="6" t="inlineStr">
        <is>
          <t xml:space="preserve">Terminada en el S2 (PR #39, aprobado por Vicente). El contenedor se valida contra la planta.</t>
        </is>
      </c>
    </row>
    <row r="21" customFormat="false" ht="32.8" hidden="false" customHeight="false" outlineLevel="0" collapsed="false">
      <c r="A21" s="5" t="s">
        <v>92</v>
      </c>
      <c r="B21" s="5" t="n">
        <v>17</v>
      </c>
      <c r="C21" s="6" t="s">
        <v>14</v>
      </c>
      <c r="D21" s="6" t="s">
        <v>93</v>
      </c>
      <c r="E21" s="6" t="s">
        <v>94</v>
      </c>
      <c r="F21" s="7" t="s">
        <v>17</v>
      </c>
      <c r="G21" s="7" t="n">
        <v>3</v>
      </c>
      <c r="H21" s="7" t="inlineStr">
        <is>
          <t xml:space="preserve">S2</t>
        </is>
      </c>
      <c r="I21" s="7" t="inlineStr">
        <is>
          <t xml:space="preserve">Hecho</t>
        </is>
      </c>
      <c r="J21" s="6" t="s">
        <v>46</v>
      </c>
      <c r="K21" s="6" t="inlineStr">
        <is>
          <t xml:space="preserve">Terminada en el S2 (PR #38, aprobado por Álvaro).</t>
        </is>
      </c>
    </row>
    <row r="22" customFormat="false" ht="22.35" hidden="false" customHeight="false" outlineLevel="0" collapsed="false">
      <c r="A22" s="5" t="s">
        <v>95</v>
      </c>
      <c r="B22" s="5" t="n">
        <v>18</v>
      </c>
      <c r="C22" s="6" t="s">
        <v>37</v>
      </c>
      <c r="D22" s="6" t="s">
        <v>96</v>
      </c>
      <c r="E22" s="6" t="s">
        <v>97</v>
      </c>
      <c r="F22" s="7" t="s">
        <v>17</v>
      </c>
      <c r="G22" s="7" t="n">
        <v>5</v>
      </c>
      <c r="H22" s="7" t="inlineStr">
        <is>
          <t xml:space="preserve">S2</t>
        </is>
      </c>
      <c r="I22" s="7" t="inlineStr">
        <is>
          <t xml:space="preserve">Hecho</t>
        </is>
      </c>
      <c r="J22" s="6" t="s">
        <v>69</v>
      </c>
      <c r="K22" s="6" t="inlineStr">
        <is>
          <t xml:space="preserve">Terminada en el S2 (PR #39, aprobado por Vicente).</t>
        </is>
      </c>
    </row>
    <row r="23" customFormat="false" ht="22.35" hidden="false" customHeight="false" outlineLevel="0" collapsed="false">
      <c r="A23" s="5" t="s">
        <v>98</v>
      </c>
      <c r="B23" s="5" t="n">
        <v>19</v>
      </c>
      <c r="C23" s="6" t="s">
        <v>37</v>
      </c>
      <c r="D23" s="6" t="s">
        <v>99</v>
      </c>
      <c r="E23" s="6" t="s">
        <v>100</v>
      </c>
      <c r="F23" s="7" t="s">
        <v>17</v>
      </c>
      <c r="G23" s="7" t="n">
        <v>3</v>
      </c>
      <c r="H23" s="7" t="inlineStr">
        <is>
          <t xml:space="preserve">S2</t>
        </is>
      </c>
      <c r="I23" s="7" t="inlineStr">
        <is>
          <t xml:space="preserve">Hecho</t>
        </is>
      </c>
      <c r="J23" s="6" t="s">
        <v>101</v>
      </c>
      <c r="K23" s="6" t="inlineStr">
        <is>
          <t xml:space="preserve">Terminada en el S2 (PR #42, fusionado por el administrador sin aprobación de otro integrante).</t>
        </is>
      </c>
    </row>
    <row r="24" customFormat="false" ht="32.8" hidden="false" customHeight="false" outlineLevel="0" collapsed="false">
      <c r="A24" s="5" t="s">
        <v>103</v>
      </c>
      <c r="B24" s="5" t="n">
        <v>20</v>
      </c>
      <c r="C24" s="6" t="s">
        <v>37</v>
      </c>
      <c r="D24" s="6" t="s">
        <v>104</v>
      </c>
      <c r="E24" s="6" t="s">
        <v>105</v>
      </c>
      <c r="F24" s="7" t="s">
        <v>17</v>
      </c>
      <c r="G24" s="7" t="n">
        <v>3</v>
      </c>
      <c r="H24" s="7" t="inlineStr">
        <is>
          <t xml:space="preserve">S2</t>
        </is>
      </c>
      <c r="I24" s="7" t="inlineStr">
        <is>
          <t xml:space="preserve">Hecho</t>
        </is>
      </c>
      <c r="J24" s="6" t="s">
        <v>101</v>
      </c>
      <c r="K24" s="6" t="inlineStr">
        <is>
          <t xml:space="preserve">Terminada en el S2 (PR #42, fusionado por el administrador sin aprobación de otro integrante).</t>
        </is>
      </c>
    </row>
    <row r="25" customFormat="false" ht="22.35" hidden="false" customHeight="false" outlineLevel="0" collapsed="false">
      <c r="A25" s="5" t="s">
        <v>107</v>
      </c>
      <c r="B25" s="5" t="n">
        <v>21</v>
      </c>
      <c r="C25" s="6" t="s">
        <v>37</v>
      </c>
      <c r="D25" s="6" t="s">
        <v>108</v>
      </c>
      <c r="E25" s="6" t="s">
        <v>109</v>
      </c>
      <c r="F25" s="7" t="s">
        <v>17</v>
      </c>
      <c r="G25" s="7" t="n">
        <v>5</v>
      </c>
      <c r="H25" s="7" t="inlineStr">
        <is>
          <t xml:space="preserve">S2</t>
        </is>
      </c>
      <c r="I25" s="7" t="inlineStr">
        <is>
          <t xml:space="preserve">Hecho</t>
        </is>
      </c>
      <c r="J25" s="6" t="s">
        <v>69</v>
      </c>
      <c r="K25" s="6" t="inlineStr">
        <is>
          <t xml:space="preserve">Terminada en el S2 (PR #42, fusionado por el administrador sin aprobación de otro integrante).</t>
        </is>
      </c>
    </row>
    <row r="26" customFormat="false" ht="32.8" hidden="false" customHeight="false" outlineLevel="0" collapsed="false">
      <c r="A26" s="5" t="s">
        <v>110</v>
      </c>
      <c r="B26" s="5" t="n">
        <v>22</v>
      </c>
      <c r="C26" s="6" t="s">
        <v>111</v>
      </c>
      <c r="D26" s="6" t="s">
        <v>112</v>
      </c>
      <c r="E26" s="6" t="s">
        <v>113</v>
      </c>
      <c r="F26" s="7" t="s">
        <v>17</v>
      </c>
      <c r="G26" s="7" t="n">
        <v>8</v>
      </c>
      <c r="H26" s="7" t="inlineStr">
        <is>
          <t xml:space="preserve">S2</t>
        </is>
      </c>
      <c r="I26" s="7" t="inlineStr">
        <is>
          <t xml:space="preserve">Hecho</t>
        </is>
      </c>
      <c r="J26" s="6" t="s">
        <v>115</v>
      </c>
      <c r="K26" s="6" t="inlineStr">
        <is>
          <t xml:space="preserve">Terminada en el S2 (PR #46 y #47, fusionado por el administrador sin aprobación de otro integrante).</t>
        </is>
      </c>
    </row>
    <row r="27" customFormat="false" ht="22.35" hidden="false" customHeight="false" outlineLevel="0" collapsed="false">
      <c r="A27" s="5" t="s">
        <v>116</v>
      </c>
      <c r="B27" s="5" t="n">
        <v>23</v>
      </c>
      <c r="C27" s="6" t="s">
        <v>111</v>
      </c>
      <c r="D27" s="6" t="s">
        <v>117</v>
      </c>
      <c r="E27" s="6" t="s">
        <v>118</v>
      </c>
      <c r="F27" s="7" t="s">
        <v>17</v>
      </c>
      <c r="G27" s="7" t="n">
        <v>2</v>
      </c>
      <c r="H27" s="7" t="inlineStr">
        <is>
          <t xml:space="preserve">S2</t>
        </is>
      </c>
      <c r="I27" s="7" t="inlineStr">
        <is>
          <t xml:space="preserve">Hecho</t>
        </is>
      </c>
      <c r="J27" s="6" t="s">
        <v>119</v>
      </c>
      <c r="K27" s="6" t="inlineStr">
        <is>
          <t xml:space="preserve">Terminada en el S2 (PR #38, aprobado por Álvaro, y PR #39, aprobado por Vicente).</t>
        </is>
      </c>
    </row>
    <row r="28" customFormat="false" ht="22.35" hidden="false" customHeight="false" outlineLevel="0" collapsed="false">
      <c r="A28" s="5" t="s">
        <v>121</v>
      </c>
      <c r="B28" s="5" t="n">
        <v>24</v>
      </c>
      <c r="C28" s="6" t="s">
        <v>122</v>
      </c>
      <c r="D28" s="6" t="s">
        <v>123</v>
      </c>
      <c r="E28" s="6" t="s">
        <v>124</v>
      </c>
      <c r="F28" s="7" t="s">
        <v>17</v>
      </c>
      <c r="G28" s="7" t="n">
        <v>3</v>
      </c>
      <c r="H28" s="7" t="inlineStr">
        <is>
          <t xml:space="preserve">S2</t>
        </is>
      </c>
      <c r="I28" s="7" t="inlineStr">
        <is>
          <t xml:space="preserve">Hecho</t>
        </is>
      </c>
      <c r="J28" s="6" t="s">
        <v>125</v>
      </c>
      <c r="K28" s="6" t="inlineStr">
        <is>
          <t xml:space="preserve">Terminada en el S2 (PR #38, aprobado por Álvaro). El certificado incluye el área.</t>
        </is>
      </c>
    </row>
    <row r="29" customFormat="false" ht="22.35" hidden="false" customHeight="false" outlineLevel="0" collapsed="false">
      <c r="A29" s="5" t="s">
        <v>127</v>
      </c>
      <c r="B29" s="5" t="n">
        <v>25</v>
      </c>
      <c r="C29" s="6" t="s">
        <v>122</v>
      </c>
      <c r="D29" s="6" t="s">
        <v>128</v>
      </c>
      <c r="E29" s="6" t="s">
        <v>129</v>
      </c>
      <c r="F29" s="7" t="s">
        <v>17</v>
      </c>
      <c r="G29" s="7" t="n">
        <v>5</v>
      </c>
      <c r="H29" s="7" t="inlineStr">
        <is>
          <t xml:space="preserve">S2</t>
        </is>
      </c>
      <c r="I29" s="7" t="inlineStr">
        <is>
          <t xml:space="preserve">Hecho</t>
        </is>
      </c>
      <c r="J29" s="6" t="s">
        <v>125</v>
      </c>
      <c r="K29" s="6" t="inlineStr">
        <is>
          <t xml:space="preserve">Terminada en el S2 (PR #46, fusionado por el administrador sin aprobación de otro integrante).</t>
        </is>
      </c>
    </row>
    <row r="30" customFormat="false" ht="22.35" hidden="false" customHeight="false" outlineLevel="0" collapsed="false">
      <c r="A30" s="5" t="s">
        <v>131</v>
      </c>
      <c r="B30" s="5" t="n">
        <v>26</v>
      </c>
      <c r="C30" s="6" t="s">
        <v>132</v>
      </c>
      <c r="D30" s="6" t="s">
        <v>133</v>
      </c>
      <c r="E30" s="6" t="s">
        <v>134</v>
      </c>
      <c r="F30" s="7" t="s">
        <v>17</v>
      </c>
      <c r="G30" s="7" t="n">
        <v>2</v>
      </c>
      <c r="H30" s="7" t="s">
        <v>114</v>
      </c>
      <c r="I30" s="7" t="inlineStr">
        <is>
          <t xml:space="preserve">Pendiente</t>
        </is>
      </c>
      <c r="J30" s="6" t="s">
        <v>46</v>
      </c>
      <c r="K30" s="6" t="inlineStr">
        <is>
          <t xml:space="preserve">Pendiente para antes del piloto (#36).</t>
        </is>
      </c>
    </row>
    <row r="31" customFormat="false" ht="22.35" hidden="false" customHeight="false" outlineLevel="0" collapsed="false">
      <c r="A31" s="5" t="s">
        <v>136</v>
      </c>
      <c r="B31" s="5" t="n">
        <v>27</v>
      </c>
      <c r="C31" s="6" t="s">
        <v>132</v>
      </c>
      <c r="D31" s="6" t="s">
        <v>137</v>
      </c>
      <c r="E31" s="6" t="s">
        <v>138</v>
      </c>
      <c r="F31" s="7" t="s">
        <v>17</v>
      </c>
      <c r="G31" s="7" t="n">
        <v>3</v>
      </c>
      <c r="H31" s="7" t="s">
        <v>114</v>
      </c>
      <c r="I31" s="7" t="inlineStr">
        <is>
          <t xml:space="preserve">Pendiente</t>
        </is>
      </c>
      <c r="J31" s="6" t="s">
        <v>46</v>
      </c>
      <c r="K31" s="6" t="inlineStr">
        <is>
          <t xml:space="preserve">Depende de los datos que entregue la viña (#36).</t>
        </is>
      </c>
    </row>
    <row r="32" customFormat="false" ht="22.35" hidden="false" customHeight="false" outlineLevel="0" collapsed="false">
      <c r="A32" s="5" t="s">
        <v>140</v>
      </c>
      <c r="B32" s="5" t="n">
        <v>28</v>
      </c>
      <c r="C32" s="6" t="s">
        <v>111</v>
      </c>
      <c r="D32" s="6" t="s">
        <v>141</v>
      </c>
      <c r="E32" s="6" t="s">
        <v>142</v>
      </c>
      <c r="F32" s="7" t="s">
        <v>33</v>
      </c>
      <c r="G32" s="7" t="n">
        <v>2</v>
      </c>
      <c r="H32" s="7" t="inlineStr">
        <is>
          <t xml:space="preserve">S2</t>
        </is>
      </c>
      <c r="I32" s="7" t="inlineStr">
        <is>
          <t xml:space="preserve">Hecho</t>
        </is>
      </c>
      <c r="J32" s="6" t="s">
        <v>46</v>
      </c>
      <c r="K32" s="6" t="inlineStr">
        <is>
          <t xml:space="preserve">Terminada en el S2 (PR #46, fusionado por el administrador sin aprobación de otro integrante).</t>
        </is>
      </c>
    </row>
    <row r="33" customFormat="false" ht="22.35" hidden="false" customHeight="false" outlineLevel="0" collapsed="false">
      <c r="A33" s="5" t="s">
        <v>143</v>
      </c>
      <c r="B33" s="5" t="n">
        <v>29</v>
      </c>
      <c r="C33" s="6" t="s">
        <v>111</v>
      </c>
      <c r="D33" s="6" t="s">
        <v>144</v>
      </c>
      <c r="E33" s="6" t="s">
        <v>145</v>
      </c>
      <c r="F33" s="7" t="s">
        <v>33</v>
      </c>
      <c r="G33" s="7" t="n">
        <v>3</v>
      </c>
      <c r="H33" s="7" t="inlineStr">
        <is>
          <t xml:space="preserve">S2</t>
        </is>
      </c>
      <c r="I33" s="7" t="inlineStr">
        <is>
          <t xml:space="preserve">Hecho</t>
        </is>
      </c>
      <c r="J33" s="6" t="s">
        <v>146</v>
      </c>
      <c r="K33" s="6" t="inlineStr">
        <is>
          <t xml:space="preserve">Terminada en el S2 (PR #46, fusionado por el administrador sin aprobación de otro integrante).</t>
        </is>
      </c>
    </row>
    <row r="34" customFormat="false" ht="22.35" hidden="false" customHeight="false" outlineLevel="0" collapsed="false">
      <c r="A34" s="5" t="s">
        <v>147</v>
      </c>
      <c r="B34" s="5" t="n">
        <v>30</v>
      </c>
      <c r="C34" s="6" t="s">
        <v>37</v>
      </c>
      <c r="D34" s="6" t="s">
        <v>148</v>
      </c>
      <c r="E34" s="6" t="s">
        <v>149</v>
      </c>
      <c r="F34" s="7" t="s">
        <v>33</v>
      </c>
      <c r="G34" s="7" t="n">
        <v>2</v>
      </c>
      <c r="H34" s="7" t="inlineStr">
        <is>
          <t xml:space="preserve">S2</t>
        </is>
      </c>
      <c r="I34" s="7" t="inlineStr">
        <is>
          <t xml:space="preserve">Hecho</t>
        </is>
      </c>
      <c r="J34" s="6" t="s">
        <v>46</v>
      </c>
      <c r="K34" s="6" t="inlineStr">
        <is>
          <t xml:space="preserve">Terminada en el S2 (PR #42, fusionado por el administrador sin aprobación de otro integrante).</t>
        </is>
      </c>
    </row>
    <row r="35" customFormat="false" ht="22.35" hidden="false" customHeight="false" outlineLevel="0" collapsed="false">
      <c r="A35" s="5" t="s">
        <v>150</v>
      </c>
      <c r="B35" s="5" t="n">
        <v>31</v>
      </c>
      <c r="C35" s="6" t="s">
        <v>151</v>
      </c>
      <c r="D35" s="6" t="s">
        <v>152</v>
      </c>
      <c r="E35" s="6" t="s">
        <v>153</v>
      </c>
      <c r="F35" s="7" t="s">
        <v>17</v>
      </c>
      <c r="G35" s="7" t="n">
        <v>5</v>
      </c>
      <c r="H35" s="7" t="inlineStr">
        <is>
          <t xml:space="preserve">S2</t>
        </is>
      </c>
      <c r="I35" s="7" t="inlineStr">
        <is>
          <t xml:space="preserve">Hecho</t>
        </is>
      </c>
      <c r="J35" s="6" t="s">
        <v>155</v>
      </c>
      <c r="K35" s="6" t="inlineStr">
        <is>
          <t xml:space="preserve">Terminada en el S2 (PR #42, fusionado por el administrador sin aprobación de otro integrante).</t>
        </is>
      </c>
    </row>
    <row r="36" customFormat="false" ht="22.35" hidden="false" customHeight="false" outlineLevel="0" collapsed="false">
      <c r="A36" s="5" t="s">
        <v>157</v>
      </c>
      <c r="B36" s="5" t="n">
        <v>32</v>
      </c>
      <c r="C36" s="6" t="s">
        <v>151</v>
      </c>
      <c r="D36" s="6" t="s">
        <v>158</v>
      </c>
      <c r="E36" s="6" t="s">
        <v>159</v>
      </c>
      <c r="F36" s="7" t="s">
        <v>17</v>
      </c>
      <c r="G36" s="7" t="n">
        <v>5</v>
      </c>
      <c r="H36" s="7" t="inlineStr">
        <is>
          <t xml:space="preserve">S2</t>
        </is>
      </c>
      <c r="I36" s="7" t="inlineStr">
        <is>
          <t xml:space="preserve">Hecho</t>
        </is>
      </c>
      <c r="J36" s="6" t="s">
        <v>155</v>
      </c>
      <c r="K36" s="6" t="inlineStr">
        <is>
          <t xml:space="preserve">Terminada en el S2 (PR #45, fusionado por el administrador sin aprobación de otro integrante).</t>
        </is>
      </c>
    </row>
    <row r="37" customFormat="false" ht="32.8" hidden="false" customHeight="false" outlineLevel="0" collapsed="false">
      <c r="A37" s="5" t="s">
        <v>160</v>
      </c>
      <c r="B37" s="5" t="n">
        <v>33</v>
      </c>
      <c r="C37" s="6" t="s">
        <v>49</v>
      </c>
      <c r="D37" s="6" t="s">
        <v>161</v>
      </c>
      <c r="E37" s="6" t="s">
        <v>162</v>
      </c>
      <c r="F37" s="7" t="s">
        <v>17</v>
      </c>
      <c r="G37" s="7" t="n">
        <v>5</v>
      </c>
      <c r="H37" s="7" t="inlineStr">
        <is>
          <t xml:space="preserve">S2</t>
        </is>
      </c>
      <c r="I37" s="7" t="inlineStr">
        <is>
          <t xml:space="preserve">Hecho</t>
        </is>
      </c>
      <c r="J37" s="6" t="s">
        <v>52</v>
      </c>
      <c r="K37" s="6" t="inlineStr">
        <is>
          <t xml:space="preserve">Terminada en el S2 (PR #43 y #49, fusionado por el administrador sin aprobación de otro integrante).</t>
        </is>
      </c>
    </row>
    <row r="38" customFormat="false" ht="22.35" hidden="false" customHeight="false" outlineLevel="0" collapsed="false">
      <c r="A38" s="5" t="s">
        <v>163</v>
      </c>
      <c r="B38" s="5" t="n">
        <v>34</v>
      </c>
      <c r="C38" s="6" t="s">
        <v>151</v>
      </c>
      <c r="D38" s="6" t="s">
        <v>164</v>
      </c>
      <c r="E38" s="6" t="s">
        <v>165</v>
      </c>
      <c r="F38" s="7" t="s">
        <v>33</v>
      </c>
      <c r="G38" s="7" t="n">
        <v>3</v>
      </c>
      <c r="H38" s="7" t="inlineStr">
        <is>
          <t xml:space="preserve">S2</t>
        </is>
      </c>
      <c r="I38" s="7" t="inlineStr">
        <is>
          <t xml:space="preserve">Hecho</t>
        </is>
      </c>
      <c r="J38" s="6" t="s">
        <v>46</v>
      </c>
      <c r="K38" s="6" t="inlineStr">
        <is>
          <t xml:space="preserve">Terminada en el S2 (PR #42, fusionado por el administrador sin aprobación de otro integrante).</t>
        </is>
      </c>
    </row>
    <row r="39" customFormat="false" ht="22.35" hidden="false" customHeight="false" outlineLevel="0" collapsed="false">
      <c r="A39" s="5" t="s">
        <v>166</v>
      </c>
      <c r="B39" s="5" t="n">
        <v>35</v>
      </c>
      <c r="C39" s="6" t="s">
        <v>49</v>
      </c>
      <c r="D39" s="6" t="s">
        <v>167</v>
      </c>
      <c r="E39" s="6" t="s">
        <v>168</v>
      </c>
      <c r="F39" s="7" t="s">
        <v>33</v>
      </c>
      <c r="G39" s="7" t="n">
        <v>5</v>
      </c>
      <c r="H39" s="7" t="inlineStr">
        <is>
          <t xml:space="preserve">S2</t>
        </is>
      </c>
      <c r="I39" s="7" t="inlineStr">
        <is>
          <t xml:space="preserve">Hecho</t>
        </is>
      </c>
      <c r="J39" s="6" t="s">
        <v>46</v>
      </c>
      <c r="K39" s="6" t="inlineStr">
        <is>
          <t xml:space="preserve">Terminada en el S2 (PR #45, fusionado por el administrador sin aprobación de otro integrante).</t>
        </is>
      </c>
    </row>
    <row r="40" customFormat="false" ht="22.35" hidden="false" customHeight="false" outlineLevel="0" collapsed="false">
      <c r="A40" s="5" t="s">
        <v>170</v>
      </c>
      <c r="B40" s="5" t="n">
        <v>36</v>
      </c>
      <c r="C40" s="6" t="s">
        <v>151</v>
      </c>
      <c r="D40" s="6" t="s">
        <v>171</v>
      </c>
      <c r="E40" s="6" t="s">
        <v>172</v>
      </c>
      <c r="F40" s="7" t="s">
        <v>173</v>
      </c>
      <c r="G40" s="7" t="n">
        <v>1</v>
      </c>
      <c r="H40" s="7" t="inlineStr">
        <is>
          <t xml:space="preserve">S2</t>
        </is>
      </c>
      <c r="I40" s="7" t="inlineStr">
        <is>
          <t xml:space="preserve">Hecho</t>
        </is>
      </c>
      <c r="J40" s="6" t="s">
        <v>174</v>
      </c>
      <c r="K40" s="6" t="inlineStr">
        <is>
          <t xml:space="preserve">Terminada en el S2 (PR #42, fusionado por el administrador sin aprobación de otro integrante).</t>
        </is>
      </c>
    </row>
    <row r="41" customFormat="false" ht="22.35" hidden="false" customHeight="false" outlineLevel="0" collapsed="false">
      <c r="A41" s="5" t="s">
        <v>176</v>
      </c>
      <c r="B41" s="5" t="n">
        <v>37</v>
      </c>
      <c r="C41" s="6" t="s">
        <v>49</v>
      </c>
      <c r="D41" s="6" t="s">
        <v>177</v>
      </c>
      <c r="E41" s="6" t="s">
        <v>178</v>
      </c>
      <c r="F41" s="7" t="s">
        <v>173</v>
      </c>
      <c r="G41" s="7" t="n">
        <v>1</v>
      </c>
      <c r="H41" s="7" t="inlineStr">
        <is>
          <t xml:space="preserve">S2</t>
        </is>
      </c>
      <c r="I41" s="7" t="inlineStr">
        <is>
          <t xml:space="preserve">Hecho</t>
        </is>
      </c>
      <c r="J41" s="6" t="s">
        <v>46</v>
      </c>
      <c r="K41" s="6" t="inlineStr">
        <is>
          <t xml:space="preserve">Terminada en el S2 (PR #43, fusionado por el administrador sin aprobación de otro integrante).</t>
        </is>
      </c>
    </row>
    <row r="42" customFormat="false" ht="22.35" hidden="false" customHeight="false" outlineLevel="0" collapsed="false">
      <c r="A42" s="5" t="s">
        <v>180</v>
      </c>
      <c r="B42" s="5" t="n">
        <v>38</v>
      </c>
      <c r="C42" s="6" t="s">
        <v>132</v>
      </c>
      <c r="D42" s="6" t="s">
        <v>181</v>
      </c>
      <c r="E42" s="6" t="s">
        <v>182</v>
      </c>
      <c r="F42" s="7" t="s">
        <v>17</v>
      </c>
      <c r="G42" s="7" t="n">
        <v>5</v>
      </c>
      <c r="H42" s="7" t="s">
        <v>183</v>
      </c>
      <c r="I42" s="7" t="s">
        <v>87</v>
      </c>
      <c r="J42" s="6" t="s">
        <v>184</v>
      </c>
      <c r="K42" s="6"/>
    </row>
    <row r="43" customFormat="false" ht="22.35" hidden="false" customHeight="false" outlineLevel="0" collapsed="false">
      <c r="A43" s="5" t="s">
        <v>185</v>
      </c>
      <c r="B43" s="5" t="n">
        <v>39</v>
      </c>
      <c r="C43" s="6" t="s">
        <v>132</v>
      </c>
      <c r="D43" s="6" t="s">
        <v>186</v>
      </c>
      <c r="E43" s="6" t="s">
        <v>187</v>
      </c>
      <c r="F43" s="7" t="s">
        <v>17</v>
      </c>
      <c r="G43" s="7" t="n">
        <v>5</v>
      </c>
      <c r="H43" s="7" t="s">
        <v>183</v>
      </c>
      <c r="I43" s="7" t="s">
        <v>87</v>
      </c>
      <c r="J43" s="6" t="s">
        <v>188</v>
      </c>
      <c r="K43" s="6"/>
    </row>
    <row r="44" customFormat="false" ht="22.35" hidden="false" customHeight="false" outlineLevel="0" collapsed="false">
      <c r="A44" s="5" t="s">
        <v>189</v>
      </c>
      <c r="B44" s="5" t="n">
        <v>40</v>
      </c>
      <c r="C44" s="6" t="s">
        <v>122</v>
      </c>
      <c r="D44" s="6" t="s">
        <v>190</v>
      </c>
      <c r="E44" s="6" t="s">
        <v>191</v>
      </c>
      <c r="F44" s="7" t="s">
        <v>33</v>
      </c>
      <c r="G44" s="7" t="n">
        <v>3</v>
      </c>
      <c r="H44" s="7" t="inlineStr">
        <is>
          <t xml:space="preserve">S2</t>
        </is>
      </c>
      <c r="I44" s="7" t="inlineStr">
        <is>
          <t xml:space="preserve">Hecho</t>
        </is>
      </c>
      <c r="J44" s="6" t="s">
        <v>46</v>
      </c>
      <c r="K44" s="6" t="inlineStr">
        <is>
          <t xml:space="preserve">Terminada en el S2 (PR #46, fusionado por el administrador sin aprobación de otro integrante).</t>
        </is>
      </c>
    </row>
    <row r="45" customFormat="false" ht="32.8" hidden="false" customHeight="false" outlineLevel="0" collapsed="false">
      <c r="A45" s="5" t="s">
        <v>192</v>
      </c>
      <c r="B45" s="5" t="n">
        <v>41</v>
      </c>
      <c r="C45" s="6" t="s">
        <v>30</v>
      </c>
      <c r="D45" s="6" t="s">
        <v>193</v>
      </c>
      <c r="E45" s="6" t="s">
        <v>194</v>
      </c>
      <c r="F45" s="7" t="s">
        <v>33</v>
      </c>
      <c r="G45" s="7" t="n">
        <v>3</v>
      </c>
      <c r="H45" s="7" t="inlineStr">
        <is>
          <t xml:space="preserve">S2</t>
        </is>
      </c>
      <c r="I45" s="7" t="inlineStr">
        <is>
          <t xml:space="preserve">Hecho</t>
        </is>
      </c>
      <c r="J45" s="6" t="s">
        <v>195</v>
      </c>
      <c r="K45" s="6" t="inlineStr">
        <is>
          <t xml:space="preserve">Terminada en el S2 (PR #42, fusionado por el administrador sin aprobación de otro integrante).</t>
        </is>
      </c>
    </row>
    <row r="46" customFormat="false" ht="22.35" hidden="false" customHeight="false" outlineLevel="0" collapsed="false">
      <c r="A46" s="5" t="s">
        <v>197</v>
      </c>
      <c r="B46" s="5" t="n">
        <v>42</v>
      </c>
      <c r="C46" s="6" t="s">
        <v>30</v>
      </c>
      <c r="D46" s="6" t="s">
        <v>198</v>
      </c>
      <c r="E46" s="6" t="s">
        <v>199</v>
      </c>
      <c r="F46" s="7" t="s">
        <v>33</v>
      </c>
      <c r="G46" s="7" t="n">
        <v>2</v>
      </c>
      <c r="H46" s="7" t="inlineStr">
        <is>
          <t xml:space="preserve">S2</t>
        </is>
      </c>
      <c r="I46" s="7" t="inlineStr">
        <is>
          <t xml:space="preserve">Hecho</t>
        </is>
      </c>
      <c r="J46" s="6" t="s">
        <v>46</v>
      </c>
      <c r="K46" s="6" t="inlineStr">
        <is>
          <t xml:space="preserve">Terminada en el S2 (PR #38, aprobado por Álvaro; PR #39, aprobado por Vicente; y PR #42, fusionado por el administrador sin aprobación de otro integrante).</t>
        </is>
      </c>
    </row>
    <row r="47" customFormat="false" ht="22.35" hidden="false" customHeight="false" outlineLevel="0" collapsed="false">
      <c r="A47" s="5" t="s">
        <v>200</v>
      </c>
      <c r="B47" s="5" t="n">
        <v>43</v>
      </c>
      <c r="C47" s="6" t="s">
        <v>14</v>
      </c>
      <c r="D47" s="6" t="s">
        <v>201</v>
      </c>
      <c r="E47" s="6" t="s">
        <v>202</v>
      </c>
      <c r="F47" s="7" t="s">
        <v>173</v>
      </c>
      <c r="G47" s="7" t="n">
        <v>1</v>
      </c>
      <c r="H47" s="7" t="s">
        <v>183</v>
      </c>
      <c r="I47" s="7" t="inlineStr">
        <is>
          <t xml:space="preserve">Pendiente</t>
        </is>
      </c>
      <c r="J47" s="6" t="s">
        <v>46</v>
      </c>
      <c r="K47" s="6" t="inlineStr">
        <is>
          <t xml:space="preserve">Estaba en el issue #30, pero no se implementó.</t>
        </is>
      </c>
    </row>
    <row r="48" customFormat="false" ht="22.35" hidden="false" customHeight="false" outlineLevel="0" collapsed="false">
      <c r="A48" s="5" t="s">
        <v>203</v>
      </c>
      <c r="B48" s="5" t="n">
        <v>44</v>
      </c>
      <c r="C48" s="6" t="s">
        <v>132</v>
      </c>
      <c r="D48" s="6" t="s">
        <v>204</v>
      </c>
      <c r="E48" s="6" t="s">
        <v>205</v>
      </c>
      <c r="F48" s="7" t="s">
        <v>173</v>
      </c>
      <c r="G48" s="7" t="n">
        <v>1</v>
      </c>
      <c r="H48" s="7" t="s">
        <v>183</v>
      </c>
      <c r="I48" s="7" t="s">
        <v>87</v>
      </c>
      <c r="J48" s="6" t="s">
        <v>46</v>
      </c>
      <c r="K48" s="6" t="s">
        <v>206</v>
      </c>
    </row>
    <row r="49" customFormat="false" ht="22.35" hidden="false" customHeight="false" outlineLevel="0" collapsed="false">
      <c r="A49" s="5" t="s">
        <v>207</v>
      </c>
      <c r="B49" s="5" t="n">
        <v>45</v>
      </c>
      <c r="C49" s="6" t="s">
        <v>122</v>
      </c>
      <c r="D49" s="6" t="s">
        <v>208</v>
      </c>
      <c r="E49" s="6" t="s">
        <v>209</v>
      </c>
      <c r="F49" s="7" t="s">
        <v>173</v>
      </c>
      <c r="G49" s="7" t="n">
        <v>3</v>
      </c>
      <c r="H49" s="7" t="s">
        <v>210</v>
      </c>
      <c r="I49" s="7" t="s">
        <v>87</v>
      </c>
      <c r="J49" s="6" t="s">
        <v>146</v>
      </c>
      <c r="K49" s="6"/>
    </row>
    <row r="50" customFormat="false" ht="22.35" hidden="false" customHeight="false" outlineLevel="0" collapsed="false">
      <c r="A50" s="5" t="s">
        <v>211</v>
      </c>
      <c r="B50" s="5" t="n">
        <v>46</v>
      </c>
      <c r="C50" s="6" t="s">
        <v>151</v>
      </c>
      <c r="D50" s="6" t="s">
        <v>212</v>
      </c>
      <c r="E50" s="6" t="s">
        <v>213</v>
      </c>
      <c r="F50" s="7" t="s">
        <v>214</v>
      </c>
      <c r="G50" s="7" t="n">
        <v>8</v>
      </c>
      <c r="H50" s="7" t="s">
        <v>210</v>
      </c>
      <c r="I50" s="7" t="s">
        <v>87</v>
      </c>
      <c r="J50" s="6" t="s">
        <v>146</v>
      </c>
      <c r="K50" s="6" t="s">
        <v>215</v>
      </c>
    </row>
    <row r="51" customFormat="false" ht="22.35" hidden="false" customHeight="false" outlineLevel="0" collapsed="false">
      <c r="A51" s="5" t="s">
        <v>216</v>
      </c>
      <c r="B51" s="5" t="n">
        <v>47</v>
      </c>
      <c r="C51" s="6" t="s">
        <v>49</v>
      </c>
      <c r="D51" s="6" t="s">
        <v>217</v>
      </c>
      <c r="E51" s="6" t="s">
        <v>213</v>
      </c>
      <c r="F51" s="7" t="s">
        <v>214</v>
      </c>
      <c r="G51" s="7" t="n">
        <v>13</v>
      </c>
      <c r="H51" s="7" t="s">
        <v>210</v>
      </c>
      <c r="I51" s="7" t="s">
        <v>87</v>
      </c>
      <c r="J51" s="6" t="s">
        <v>146</v>
      </c>
      <c r="K51" s="6"/>
    </row>
  </sheetData>
  <autoFilter ref="A4:K51"/>
  <conditionalFormatting sqref="I5:I81">
    <cfRule type="expression" priority="2" aboveAverage="0" equalAverage="0" bottom="0" percent="0" rank="0" text="" dxfId="9">
      <formula>$I5="Hecho"</formula>
    </cfRule>
    <cfRule type="expression" priority="3" aboveAverage="0" equalAverage="0" bottom="0" percent="0" rank="0" text="" dxfId="10">
      <formula>$I5="Por ajustar"</formula>
    </cfRule>
    <cfRule type="expression" priority="4" aboveAverage="0" equalAverage="0" bottom="0" percent="0" rank="0" text="" dxfId="11">
      <formula>$I5="En curso"</formula>
    </cfRule>
  </conditionalFormatting>
  <conditionalFormatting sqref="F5:F81">
    <cfRule type="expression" priority="5" aboveAverage="0" equalAverage="0" bottom="0" percent="0" rank="0" text="" dxfId="12">
      <formula>$F5="Won't"</formula>
    </cfRule>
  </conditionalFormatting>
  <dataValidations count="4">
    <dataValidation allowBlank="false" errorStyle="stop" operator="between" showDropDown="false" showErrorMessage="false" showInputMessage="false" sqref="F5:F81" type="list">
      <formula1>"Must,Should,Could,Won't"</formula1>
      <formula2>0</formula2>
    </dataValidation>
    <dataValidation allowBlank="false" errorStyle="stop" operator="between" showDropDown="false" showErrorMessage="false" showInputMessage="false" sqref="G5:G81" type="list">
      <formula1>"1,2,3,5,8,13"</formula1>
      <formula2>0</formula2>
    </dataValidation>
    <dataValidation allowBlank="false" errorStyle="stop" operator="between" showDropDown="false" showErrorMessage="false" showInputMessage="false" sqref="H5:H81" type="list">
      <formula1>"S1,S2,S3,S4,S5,S6,Después del piloto"</formula1>
      <formula2>0</formula2>
    </dataValidation>
    <dataValidation allowBlank="false" errorStyle="stop" operator="between" showDropDown="false" showErrorMessage="false" showInputMessage="false" sqref="I5:I81" type="list">
      <formula1>"Pendiente,Por ajustar,En curso,Hecho"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3"/>
    <col collapsed="false" customWidth="true" hidden="false" outlineLevel="0" max="8" min="8" style="1" width="9"/>
  </cols>
  <sheetData>
    <row r="1" customFormat="false" ht="17.35" hidden="false" customHeight="false" outlineLevel="0" collapsed="false">
      <c r="A1" s="2" t="s">
        <v>218</v>
      </c>
    </row>
    <row r="2" customFormat="false" ht="15" hidden="false" customHeight="false" outlineLevel="0" collapsed="false">
      <c r="A2" s="3" t="s">
        <v>219</v>
      </c>
    </row>
    <row r="4" customFormat="false" ht="23.85" hidden="false" customHeight="false" outlineLevel="0" collapsed="false">
      <c r="A4" s="4" t="s">
        <v>4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8</v>
      </c>
      <c r="G4" s="4" t="s">
        <v>224</v>
      </c>
      <c r="H4" s="4" t="s">
        <v>225</v>
      </c>
    </row>
    <row r="5" customFormat="false" ht="23.85" hidden="false" customHeight="false" outlineLevel="0" collapsed="false">
      <c r="A5" s="8" t="s">
        <v>226</v>
      </c>
      <c r="B5" s="8" t="s">
        <v>227</v>
      </c>
      <c r="C5" s="8" t="s">
        <v>228</v>
      </c>
      <c r="D5" s="8" t="s">
        <v>18</v>
      </c>
      <c r="E5" s="8" t="n">
        <f aca="false">COUNTIF('Product Backlog'!$C$5:$C$81,"E1 · Incorporación y acceso")</f>
        <v>8</v>
      </c>
      <c r="F5" s="8" t="n">
        <f aca="false">SUMIF('Product Backlog'!$C$5:$C$81,"E1 · Incorporación y acceso",'Product Backlog'!$G$5:$G$81)</f>
        <v>28</v>
      </c>
      <c r="G5" s="8" t="n">
        <f aca="false">SUMIFS('Product Backlog'!$G$5:$G$81,'Product Backlog'!$C$5:$C$81,"E1 · Incorporación y acceso",'Product Backlog'!$I$5:$I$81,"Hecho")</f>
        <v>3</v>
      </c>
      <c r="H5" s="9" t="n">
        <f aca="false">IF(F5=0,0,G5/F5)</f>
        <v>0.107142857142857</v>
      </c>
    </row>
    <row r="6" customFormat="false" ht="15" hidden="false" customHeight="false" outlineLevel="0" collapsed="false">
      <c r="A6" s="8" t="s">
        <v>229</v>
      </c>
      <c r="B6" s="8" t="s">
        <v>230</v>
      </c>
      <c r="C6" s="8" t="s">
        <v>231</v>
      </c>
      <c r="D6" s="8" t="s">
        <v>44</v>
      </c>
      <c r="E6" s="8" t="n">
        <f aca="false">COUNTIF('Product Backlog'!$C$5:$C$81,"E2 · Registro por QR")</f>
        <v>8</v>
      </c>
      <c r="F6" s="8" t="n">
        <f aca="false">SUMIF('Product Backlog'!$C$5:$C$81,"E2 · Registro por QR",'Product Backlog'!$G$5:$G$81)</f>
        <v>23</v>
      </c>
      <c r="G6" s="8" t="n">
        <f aca="false">SUMIFS('Product Backlog'!$G$5:$G$81,'Product Backlog'!$C$5:$C$81,"E2 · Registro por QR",'Product Backlog'!$I$5:$I$81,"Hecho")</f>
        <v>7</v>
      </c>
      <c r="H6" s="9" t="n">
        <f aca="false">IF(F6=0,0,G6/F6)</f>
        <v>0.304347826086957</v>
      </c>
    </row>
    <row r="7" customFormat="false" ht="15" hidden="false" customHeight="false" outlineLevel="0" collapsed="false">
      <c r="A7" s="8" t="s">
        <v>232</v>
      </c>
      <c r="B7" s="8" t="s">
        <v>233</v>
      </c>
      <c r="C7" s="8" t="s">
        <v>234</v>
      </c>
      <c r="D7" s="8" t="s">
        <v>78</v>
      </c>
      <c r="E7" s="8" t="n">
        <f aca="false">COUNTIF('Product Backlog'!$C$5:$C$81,"E3 · Validación diaria")</f>
        <v>7</v>
      </c>
      <c r="F7" s="8" t="n">
        <f aca="false">SUMIF('Product Backlog'!$C$5:$C$81,"E3 · Validación diaria",'Product Backlog'!$G$5:$G$81)</f>
        <v>22</v>
      </c>
      <c r="G7" s="8" t="n">
        <f aca="false">SUMIFS('Product Backlog'!$G$5:$G$81,'Product Backlog'!$C$5:$C$81,"E3 · Validación diaria",'Product Backlog'!$I$5:$I$81,"Hecho")</f>
        <v>1</v>
      </c>
      <c r="H7" s="9" t="n">
        <f aca="false">IF(F7=0,0,G7/F7)</f>
        <v>0.0454545454545455</v>
      </c>
    </row>
    <row r="8" customFormat="false" ht="15" hidden="false" customHeight="false" outlineLevel="0" collapsed="false">
      <c r="A8" s="8" t="s">
        <v>235</v>
      </c>
      <c r="B8" s="8" t="s">
        <v>236</v>
      </c>
      <c r="C8" s="8" t="s">
        <v>237</v>
      </c>
      <c r="D8" s="8" t="s">
        <v>114</v>
      </c>
      <c r="E8" s="8" t="n">
        <f aca="false">COUNTIF('Product Backlog'!$C$5:$C$81,"E4 · Registro de retiros")</f>
        <v>4</v>
      </c>
      <c r="F8" s="8" t="n">
        <f aca="false">SUMIF('Product Backlog'!$C$5:$C$81,"E4 · Registro de retiros",'Product Backlog'!$G$5:$G$81)</f>
        <v>15</v>
      </c>
      <c r="G8" s="8" t="n">
        <f aca="false">SUMIFS('Product Backlog'!$G$5:$G$81,'Product Backlog'!$C$5:$C$81,"E4 · Registro de retiros",'Product Backlog'!$I$5:$I$81,"Hecho")</f>
        <v>0</v>
      </c>
      <c r="H8" s="9" t="n">
        <f aca="false">IF(F8=0,0,G8/F8)</f>
        <v>0</v>
      </c>
    </row>
    <row r="9" customFormat="false" ht="15" hidden="false" customHeight="false" outlineLevel="0" collapsed="false">
      <c r="A9" s="8" t="s">
        <v>238</v>
      </c>
      <c r="B9" s="8" t="s">
        <v>239</v>
      </c>
      <c r="C9" s="8" t="s">
        <v>240</v>
      </c>
      <c r="D9" s="8" t="s">
        <v>114</v>
      </c>
      <c r="E9" s="8" t="n">
        <f aca="false">COUNTIF('Product Backlog'!$C$5:$C$81,"E5 · Reportes y certificados")</f>
        <v>4</v>
      </c>
      <c r="F9" s="8" t="n">
        <f aca="false">SUMIF('Product Backlog'!$C$5:$C$81,"E5 · Reportes y certificados",'Product Backlog'!$G$5:$G$81)</f>
        <v>14</v>
      </c>
      <c r="G9" s="8" t="n">
        <f aca="false">SUMIFS('Product Backlog'!$G$5:$G$81,'Product Backlog'!$C$5:$C$81,"E5 · Reportes y certificados",'Product Backlog'!$I$5:$I$81,"Hecho")</f>
        <v>0</v>
      </c>
      <c r="H9" s="9" t="n">
        <f aca="false">IF(F9=0,0,G9/F9)</f>
        <v>0</v>
      </c>
    </row>
    <row r="10" customFormat="false" ht="15" hidden="false" customHeight="false" outlineLevel="0" collapsed="false">
      <c r="A10" s="8" t="s">
        <v>241</v>
      </c>
      <c r="B10" s="8" t="s">
        <v>242</v>
      </c>
      <c r="C10" s="8" t="s">
        <v>243</v>
      </c>
      <c r="D10" s="8" t="s">
        <v>154</v>
      </c>
      <c r="E10" s="8" t="n">
        <f aca="false">COUNTIF('Product Backlog'!$C$5:$C$81,"E6 · Campañas y ranking por área")</f>
        <v>5</v>
      </c>
      <c r="F10" s="8" t="n">
        <f aca="false">SUMIF('Product Backlog'!$C$5:$C$81,"E6 · Campañas y ranking por área",'Product Backlog'!$G$5:$G$81)</f>
        <v>22</v>
      </c>
      <c r="G10" s="8" t="n">
        <f aca="false">SUMIFS('Product Backlog'!$G$5:$G$81,'Product Backlog'!$C$5:$C$81,"E6 · Campañas y ranking por área",'Product Backlog'!$I$5:$I$81,"Hecho")</f>
        <v>0</v>
      </c>
      <c r="H10" s="9" t="n">
        <f aca="false">IF(F10=0,0,G10/F10)</f>
        <v>0</v>
      </c>
    </row>
    <row r="11" customFormat="false" ht="15" hidden="false" customHeight="false" outlineLevel="0" collapsed="false">
      <c r="A11" s="8" t="s">
        <v>244</v>
      </c>
      <c r="B11" s="8" t="s">
        <v>245</v>
      </c>
      <c r="C11" s="8" t="s">
        <v>246</v>
      </c>
      <c r="D11" s="8" t="s">
        <v>154</v>
      </c>
      <c r="E11" s="8" t="n">
        <f aca="false">COUNTIF('Product Backlog'!$C$5:$C$81,"E7 · Panel web del administrador")</f>
        <v>6</v>
      </c>
      <c r="F11" s="8" t="n">
        <f aca="false">SUMIF('Product Backlog'!$C$5:$C$81,"E7 · Panel web del administrador",'Product Backlog'!$G$5:$G$81)</f>
        <v>34</v>
      </c>
      <c r="G11" s="8" t="n">
        <f aca="false">SUMIFS('Product Backlog'!$G$5:$G$81,'Product Backlog'!$C$5:$C$81,"E7 · Panel web del administrador",'Product Backlog'!$I$5:$I$81,"Hecho")</f>
        <v>0</v>
      </c>
      <c r="H11" s="9" t="n">
        <f aca="false">IF(F11=0,0,G11/F11)</f>
        <v>0</v>
      </c>
    </row>
    <row r="12" customFormat="false" ht="15" hidden="false" customHeight="false" outlineLevel="0" collapsed="false">
      <c r="A12" s="8" t="s">
        <v>247</v>
      </c>
      <c r="B12" s="8" t="s">
        <v>248</v>
      </c>
      <c r="C12" s="8" t="s">
        <v>249</v>
      </c>
      <c r="D12" s="8" t="s">
        <v>250</v>
      </c>
      <c r="E12" s="8" t="n">
        <f aca="false">COUNTIF('Product Backlog'!$C$5:$C$81,"E8 · Piloto y calidad")</f>
        <v>5</v>
      </c>
      <c r="F12" s="8" t="n">
        <f aca="false">SUMIF('Product Backlog'!$C$5:$C$81,"E8 · Piloto y calidad",'Product Backlog'!$G$5:$G$81)</f>
        <v>16</v>
      </c>
      <c r="G12" s="8" t="n">
        <f aca="false">SUMIFS('Product Backlog'!$G$5:$G$81,'Product Backlog'!$C$5:$C$81,"E8 · Piloto y calidad",'Product Backlog'!$I$5:$I$81,"Hecho")</f>
        <v>0</v>
      </c>
      <c r="H12" s="9" t="n">
        <f aca="false">IF(F12=0,0,G12/F12)</f>
        <v>0</v>
      </c>
    </row>
    <row r="13" customFormat="false" ht="15" hidden="false" customHeight="false" outlineLevel="0" collapsed="false">
      <c r="A13" s="10" t="s">
        <v>251</v>
      </c>
      <c r="B13" s="11"/>
      <c r="C13" s="11"/>
      <c r="D13" s="11"/>
      <c r="E13" s="10" t="n">
        <f aca="false">SUM(E5:E12)</f>
        <v>47</v>
      </c>
      <c r="F13" s="10" t="n">
        <f aca="false">SUM(F5:F12)</f>
        <v>174</v>
      </c>
      <c r="G13" s="10" t="n">
        <f aca="false">SUM(G5:G12)</f>
        <v>11</v>
      </c>
      <c r="H13" s="12" t="n">
        <f aca="false">IF(F13=0,0,G13/F13)</f>
        <v>0.0632183908045977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60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20"/>
  </cols>
  <sheetData>
    <row r="1" customFormat="false" ht="17.35" hidden="false" customHeight="false" outlineLevel="0" collapsed="false">
      <c r="A1" s="2" t="s">
        <v>252</v>
      </c>
    </row>
    <row r="2" customFormat="false" ht="15" hidden="false" customHeight="false" outlineLevel="0" collapsed="false">
      <c r="A2" s="3" t="s">
        <v>253</v>
      </c>
    </row>
    <row r="4" customFormat="false" ht="15" hidden="false" customHeight="false" outlineLevel="0" collapsed="false">
      <c r="A4" s="4" t="s">
        <v>9</v>
      </c>
      <c r="B4" s="4" t="s">
        <v>254</v>
      </c>
      <c r="C4" s="4" t="s">
        <v>255</v>
      </c>
      <c r="D4" s="4" t="s">
        <v>223</v>
      </c>
      <c r="E4" s="4" t="s">
        <v>8</v>
      </c>
      <c r="F4" s="4" t="s">
        <v>256</v>
      </c>
      <c r="G4" s="4" t="s">
        <v>257</v>
      </c>
    </row>
    <row r="5" customFormat="false" ht="23.85" hidden="false" customHeight="false" outlineLevel="0" collapsed="false">
      <c r="A5" s="8" t="s">
        <v>18</v>
      </c>
      <c r="B5" s="8" t="s">
        <v>258</v>
      </c>
      <c r="C5" s="8" t="s">
        <v>259</v>
      </c>
      <c r="D5" s="8" t="n">
        <f aca="false">COUNTIF('Product Backlog'!$H$5:$H$81,A5)</f>
        <v>5</v>
      </c>
      <c r="E5" s="8" t="n">
        <f aca="false">SUMIF('Product Backlog'!$H$5:$H$81,A5,'Product Backlog'!$G$5:$G$81)</f>
        <v>11</v>
      </c>
      <c r="F5" s="8" t="n">
        <f aca="false">SUMIFS('Product Backlog'!$G$5:$G$81,'Product Backlog'!$H$5:$H$81,A5,'Product Backlog'!$F$5:$F$81,"Must")</f>
        <v>7</v>
      </c>
      <c r="G5" s="8" t="n">
        <f aca="false">COUNTIFS('Product Backlog'!$H$5:$H$81,A5,'Product Backlog'!$I$5:$I$81,"Por ajustar")</f>
        <v>0</v>
      </c>
    </row>
    <row r="6" customFormat="false" ht="23.85" hidden="false" customHeight="false" outlineLevel="0" collapsed="false">
      <c r="A6" s="8" t="s">
        <v>44</v>
      </c>
      <c r="B6" s="8" t="s">
        <v>260</v>
      </c>
      <c r="C6" s="8" t="s">
        <v>261</v>
      </c>
      <c r="D6" s="8" t="n">
        <f aca="false">COUNTIF('Product Backlog'!$H$5:$H$81,A6)</f>
        <v>7</v>
      </c>
      <c r="E6" s="8" t="n">
        <f aca="false">SUMIF('Product Backlog'!$H$5:$H$81,A6,'Product Backlog'!$G$5:$G$81)</f>
        <v>31</v>
      </c>
      <c r="F6" s="8" t="n">
        <f aca="false">SUMIFS('Product Backlog'!$G$5:$G$81,'Product Backlog'!$H$5:$H$81,A6,'Product Backlog'!$F$5:$F$81,"Must")</f>
        <v>29</v>
      </c>
      <c r="G6" s="8" t="n">
        <f aca="false">COUNTIFS('Product Backlog'!$H$5:$H$81,A6,'Product Backlog'!$I$5:$I$81,"Por ajustar")</f>
        <v>0</v>
      </c>
    </row>
    <row r="7" customFormat="false" ht="15" hidden="false" customHeight="false" outlineLevel="0" collapsed="false">
      <c r="A7" s="8" t="s">
        <v>78</v>
      </c>
      <c r="B7" s="8" t="s">
        <v>262</v>
      </c>
      <c r="C7" s="8" t="s">
        <v>263</v>
      </c>
      <c r="D7" s="8" t="n">
        <f aca="false">COUNTIF('Product Backlog'!$H$5:$H$81,A7)</f>
        <v>9</v>
      </c>
      <c r="E7" s="8" t="n">
        <f aca="false">SUMIF('Product Backlog'!$H$5:$H$81,A7,'Product Backlog'!$G$5:$G$81)</f>
        <v>33</v>
      </c>
      <c r="F7" s="8" t="n">
        <f aca="false">SUMIFS('Product Backlog'!$G$5:$G$81,'Product Backlog'!$H$5:$H$81,A7,'Product Backlog'!$F$5:$F$81,"Must")</f>
        <v>33</v>
      </c>
      <c r="G7" s="8" t="n">
        <f aca="false">COUNTIFS('Product Backlog'!$H$5:$H$81,A7,'Product Backlog'!$I$5:$I$81,"Por ajustar")</f>
        <v>5</v>
      </c>
    </row>
    <row r="8" customFormat="false" ht="15" hidden="false" customHeight="false" outlineLevel="0" collapsed="false">
      <c r="A8" s="8" t="s">
        <v>114</v>
      </c>
      <c r="B8" s="8" t="s">
        <v>264</v>
      </c>
      <c r="C8" s="8" t="s">
        <v>265</v>
      </c>
      <c r="D8" s="8" t="n">
        <f aca="false">COUNTIF('Product Backlog'!$H$5:$H$81,A8)</f>
        <v>9</v>
      </c>
      <c r="E8" s="8" t="n">
        <f aca="false">SUMIF('Product Backlog'!$H$5:$H$81,A8,'Product Backlog'!$G$5:$G$81)</f>
        <v>30</v>
      </c>
      <c r="F8" s="8" t="n">
        <f aca="false">SUMIFS('Product Backlog'!$G$5:$G$81,'Product Backlog'!$H$5:$H$81,A8,'Product Backlog'!$F$5:$F$81,"Must")</f>
        <v>23</v>
      </c>
      <c r="G8" s="8" t="n">
        <f aca="false">COUNTIFS('Product Backlog'!$H$5:$H$81,A8,'Product Backlog'!$I$5:$I$81,"Por ajustar")</f>
        <v>3</v>
      </c>
    </row>
    <row r="9" customFormat="false" ht="15" hidden="false" customHeight="false" outlineLevel="0" collapsed="false">
      <c r="A9" s="8" t="s">
        <v>154</v>
      </c>
      <c r="B9" s="8" t="s">
        <v>266</v>
      </c>
      <c r="C9" s="8" t="s">
        <v>267</v>
      </c>
      <c r="D9" s="8" t="n">
        <f aca="false">COUNTIF('Product Backlog'!$H$5:$H$81,A9)</f>
        <v>7</v>
      </c>
      <c r="E9" s="8" t="n">
        <f aca="false">SUMIF('Product Backlog'!$H$5:$H$81,A9,'Product Backlog'!$G$5:$G$81)</f>
        <v>25</v>
      </c>
      <c r="F9" s="8" t="n">
        <f aca="false">SUMIFS('Product Backlog'!$G$5:$G$81,'Product Backlog'!$H$5:$H$81,A9,'Product Backlog'!$F$5:$F$81,"Must")</f>
        <v>15</v>
      </c>
      <c r="G9" s="8" t="n">
        <f aca="false">COUNTIFS('Product Backlog'!$H$5:$H$81,A9,'Product Backlog'!$I$5:$I$81,"Por ajustar")</f>
        <v>2</v>
      </c>
    </row>
    <row r="10" customFormat="false" ht="15" hidden="false" customHeight="false" outlineLevel="0" collapsed="false">
      <c r="A10" s="8" t="s">
        <v>183</v>
      </c>
      <c r="B10" s="8" t="s">
        <v>268</v>
      </c>
      <c r="C10" s="8" t="s">
        <v>269</v>
      </c>
      <c r="D10" s="8" t="n">
        <f aca="false">COUNTIF('Product Backlog'!$H$5:$H$81,A10)</f>
        <v>7</v>
      </c>
      <c r="E10" s="8" t="n">
        <f aca="false">SUMIF('Product Backlog'!$H$5:$H$81,A10,'Product Backlog'!$G$5:$G$81)</f>
        <v>20</v>
      </c>
      <c r="F10" s="8" t="n">
        <f aca="false">SUMIFS('Product Backlog'!$G$5:$G$81,'Product Backlog'!$H$5:$H$81,A10,'Product Backlog'!$F$5:$F$81,"Must")</f>
        <v>10</v>
      </c>
      <c r="G10" s="8" t="n">
        <f aca="false">COUNTIFS('Product Backlog'!$H$5:$H$81,A10,'Product Backlog'!$I$5:$I$81,"Por ajustar")</f>
        <v>1</v>
      </c>
    </row>
    <row r="11" customFormat="false" ht="15" hidden="false" customHeight="false" outlineLevel="0" collapsed="false">
      <c r="A11" s="8" t="s">
        <v>210</v>
      </c>
      <c r="B11" s="8" t="s">
        <v>270</v>
      </c>
      <c r="C11" s="8" t="s">
        <v>271</v>
      </c>
      <c r="D11" s="8" t="n">
        <f aca="false">COUNTIF('Product Backlog'!$H$5:$H$81,A11)</f>
        <v>3</v>
      </c>
      <c r="E11" s="8" t="n">
        <f aca="false">SUMIF('Product Backlog'!$H$5:$H$81,A11,'Product Backlog'!$G$5:$G$81)</f>
        <v>24</v>
      </c>
      <c r="F11" s="8" t="n">
        <f aca="false">SUMIFS('Product Backlog'!$G$5:$G$81,'Product Backlog'!$H$5:$H$81,A11,'Product Backlog'!$F$5:$F$81,"Must")</f>
        <v>0</v>
      </c>
      <c r="G11" s="8" t="n">
        <f aca="false">COUNTIFS('Product Backlog'!$H$5:$H$81,A11,'Product Backlog'!$I$5:$I$81,"Por ajustar")</f>
        <v>0</v>
      </c>
    </row>
    <row r="12" customFormat="false" ht="15" hidden="false" customHeight="false" outlineLevel="0" collapsed="false">
      <c r="A12" s="10" t="s">
        <v>251</v>
      </c>
      <c r="B12" s="11"/>
      <c r="C12" s="11"/>
      <c r="D12" s="10" t="n">
        <f aca="false">SUM(D5:D11)</f>
        <v>47</v>
      </c>
      <c r="E12" s="10" t="n">
        <f aca="false">SUM(E5:E11)</f>
        <v>174</v>
      </c>
      <c r="F12" s="10" t="n">
        <f aca="false">SUM(F5:F11)</f>
        <v>117</v>
      </c>
      <c r="G12" s="10" t="n">
        <f aca="false">SUM(G5:G11)</f>
        <v>11</v>
      </c>
    </row>
    <row r="14" customFormat="false" ht="15" hidden="false" customHeight="false" outlineLevel="0" collapsed="false">
      <c r="A14" s="3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0"/>
  </cols>
  <sheetData>
    <row r="1" customFormat="false" ht="17.35" hidden="false" customHeight="false" outlineLevel="0" collapsed="false">
      <c r="A1" s="2" t="s">
        <v>273</v>
      </c>
    </row>
    <row r="2" customFormat="false" ht="15" hidden="false" customHeight="false" outlineLevel="0" collapsed="false">
      <c r="A2" s="3"/>
    </row>
    <row r="4" customFormat="false" ht="15" hidden="false" customHeight="false" outlineLevel="0" collapsed="false">
      <c r="A4" s="13" t="s">
        <v>274</v>
      </c>
      <c r="B4" s="8" t="s">
        <v>275</v>
      </c>
    </row>
    <row r="5" customFormat="false" ht="23.85" hidden="false" customHeight="false" outlineLevel="0" collapsed="false">
      <c r="A5" s="13" t="s">
        <v>276</v>
      </c>
      <c r="B5" s="8" t="s">
        <v>277</v>
      </c>
    </row>
    <row r="6" customFormat="false" ht="23.85" hidden="false" customHeight="false" outlineLevel="0" collapsed="false">
      <c r="A6" s="13" t="s">
        <v>8</v>
      </c>
      <c r="B6" s="8" t="s">
        <v>278</v>
      </c>
    </row>
    <row r="7" customFormat="false" ht="15" hidden="false" customHeight="false" outlineLevel="0" collapsed="false">
      <c r="A7" s="13" t="s">
        <v>9</v>
      </c>
      <c r="B7" s="8" t="s">
        <v>279</v>
      </c>
    </row>
    <row r="8" customFormat="false" ht="23.85" hidden="false" customHeight="false" outlineLevel="0" collapsed="false">
      <c r="A8" s="13" t="s">
        <v>10</v>
      </c>
      <c r="B8" s="8" t="s">
        <v>280</v>
      </c>
    </row>
    <row r="9" customFormat="false" ht="23.85" hidden="false" customHeight="false" outlineLevel="0" collapsed="false">
      <c r="A9" s="13" t="s">
        <v>11</v>
      </c>
      <c r="B9" s="8" t="s">
        <v>281</v>
      </c>
    </row>
    <row r="10" customFormat="false" ht="23.85" hidden="false" customHeight="false" outlineLevel="0" collapsed="false">
      <c r="A10" s="13" t="s">
        <v>282</v>
      </c>
      <c r="B10" s="8" t="s">
        <v>283</v>
      </c>
    </row>
    <row r="11" customFormat="false" ht="15" hidden="false" customHeight="false" outlineLevel="0" collapsed="false">
      <c r="A11" s="13" t="s">
        <v>284</v>
      </c>
      <c r="B11" s="8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2026-10-05T19:32:03Z</dcterms:created>
  <dc:creator>openpyxl</dc:creator>
  <dc:description/>
  <dc:language>en-US</dc:language>
  <cp:lastModifiedBy/>
  <dcterms:modified xsi:type="dcterms:W3CDTF">2026-10-05T19:32:03Z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